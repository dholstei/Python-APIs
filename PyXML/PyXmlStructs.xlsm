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src\PyXML\"/>
    </mc:Choice>
  </mc:AlternateContent>
  <bookViews>
    <workbookView xWindow="0" yWindow="0" windowWidth="18000" windowHeight="25230" activeTab="3"/>
  </bookViews>
  <sheets>
    <sheet name="xmlDoc" sheetId="1" r:id="rId1"/>
    <sheet name="xmlNode" sheetId="3" r:id="rId2"/>
    <sheet name="xmlError" sheetId="5" r:id="rId3"/>
    <sheet name="xmlNodeSet" sheetId="6" r:id="rId4"/>
    <sheet name="xmlXPathParserContext" sheetId="9" r:id="rId5"/>
    <sheet name="xmlXPathObj" sheetId="10" r:id="rId6"/>
    <sheet name="Types" sheetId="2" r:id="rId7"/>
  </sheets>
  <functionGroups builtInGroupCount="18"/>
  <definedNames>
    <definedName name="_xlnm._FilterDatabase" localSheetId="6" hidden="1">Types!$A$1:$A$23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9" l="1"/>
  <c r="B15" i="2"/>
  <c r="B16" i="2" s="1"/>
  <c r="A11" i="10"/>
  <c r="A10" i="10"/>
  <c r="A9" i="10"/>
  <c r="A8" i="10"/>
  <c r="A7" i="10"/>
  <c r="A6" i="10"/>
  <c r="A5" i="10"/>
  <c r="A4" i="10"/>
  <c r="A3" i="10"/>
  <c r="A2" i="10"/>
  <c r="A1" i="10"/>
  <c r="B9" i="2"/>
  <c r="B14" i="2"/>
  <c r="B2" i="10"/>
  <c r="B6" i="10"/>
  <c r="B4" i="10"/>
  <c r="C6" i="10"/>
  <c r="C8" i="10"/>
  <c r="B13" i="9"/>
  <c r="C10" i="10"/>
  <c r="B7" i="10"/>
  <c r="B9" i="10"/>
  <c r="C11" i="10"/>
  <c r="C2" i="10"/>
  <c r="C4" i="10"/>
  <c r="B10" i="9"/>
  <c r="B3" i="10"/>
  <c r="B5" i="10"/>
  <c r="C7" i="10"/>
  <c r="C9" i="10"/>
  <c r="C3" i="10"/>
  <c r="B10" i="10"/>
  <c r="B8" i="10"/>
  <c r="C5" i="10"/>
  <c r="D5" i="10" l="1"/>
  <c r="D3" i="10"/>
  <c r="D9" i="10"/>
  <c r="D7" i="10"/>
  <c r="D4" i="10"/>
  <c r="D2" i="10"/>
  <c r="D10" i="10"/>
  <c r="D8" i="10"/>
  <c r="D6" i="10"/>
  <c r="A14" i="9"/>
  <c r="A13" i="9"/>
  <c r="A12" i="9"/>
  <c r="A11" i="9"/>
  <c r="A10" i="9"/>
  <c r="A9" i="9"/>
  <c r="A8" i="9"/>
  <c r="A7" i="9"/>
  <c r="A6" i="9"/>
  <c r="A5" i="9"/>
  <c r="A4" i="9"/>
  <c r="A3" i="9"/>
  <c r="A2" i="9"/>
  <c r="B7" i="9"/>
  <c r="B6" i="9"/>
  <c r="B11" i="10"/>
  <c r="B5" i="9"/>
  <c r="B4" i="9"/>
  <c r="B8" i="9"/>
  <c r="B10" i="2" l="1"/>
  <c r="A4" i="6"/>
  <c r="A3" i="6"/>
  <c r="A2" i="6"/>
  <c r="A5" i="6"/>
  <c r="A1" i="6"/>
  <c r="C8" i="9"/>
  <c r="B12" i="9"/>
  <c r="C14" i="9"/>
  <c r="C2" i="9"/>
  <c r="C3" i="9"/>
  <c r="B4" i="6"/>
  <c r="C4" i="9"/>
  <c r="C9" i="9"/>
  <c r="C10" i="9"/>
  <c r="B14" i="9"/>
  <c r="C5" i="6"/>
  <c r="B3" i="9"/>
  <c r="C5" i="9"/>
  <c r="B9" i="9"/>
  <c r="C11" i="9"/>
  <c r="C3" i="6"/>
  <c r="B11" i="9"/>
  <c r="C13" i="9"/>
  <c r="C6" i="9"/>
  <c r="C7" i="9"/>
  <c r="C12" i="9"/>
  <c r="B2" i="9"/>
  <c r="C2" i="6"/>
  <c r="A16" i="5" l="1"/>
  <c r="A15" i="5"/>
  <c r="A14" i="5"/>
  <c r="A13" i="5"/>
  <c r="A12" i="5"/>
  <c r="A11" i="5"/>
  <c r="A10" i="5"/>
  <c r="A9" i="5"/>
  <c r="A8" i="5"/>
  <c r="A7" i="5"/>
  <c r="A6" i="5"/>
  <c r="A5" i="5"/>
  <c r="A4" i="5"/>
  <c r="A3" i="5"/>
  <c r="A2" i="5"/>
  <c r="A1" i="5"/>
  <c r="A2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1" i="3"/>
  <c r="B4" i="5"/>
  <c r="B11" i="1"/>
  <c r="B5" i="5"/>
  <c r="B15" i="1"/>
  <c r="B10" i="5"/>
  <c r="B2" i="1"/>
  <c r="B8" i="5"/>
  <c r="B5" i="1"/>
  <c r="B9" i="5"/>
  <c r="B17" i="1"/>
  <c r="B14" i="5"/>
  <c r="B6" i="1"/>
  <c r="C10" i="5"/>
  <c r="B12" i="5"/>
  <c r="B23" i="1"/>
  <c r="B13" i="5"/>
  <c r="B7" i="1"/>
  <c r="B2" i="5"/>
  <c r="B19" i="1"/>
  <c r="B3" i="6"/>
  <c r="B24" i="1"/>
  <c r="B5" i="6"/>
  <c r="B21" i="1"/>
  <c r="B6" i="5"/>
  <c r="B25" i="1"/>
  <c r="B3" i="5"/>
  <c r="B4" i="1"/>
  <c r="B16" i="1"/>
  <c r="D12" i="9"/>
  <c r="D6" i="9"/>
  <c r="D13" i="9"/>
  <c r="C14" i="5"/>
  <c r="B22" i="1"/>
  <c r="C2" i="5"/>
  <c r="B10" i="1"/>
  <c r="C13" i="5"/>
  <c r="B7" i="5"/>
  <c r="C11" i="5"/>
  <c r="C9" i="1"/>
  <c r="C7" i="5"/>
  <c r="C15" i="1"/>
  <c r="C5" i="5"/>
  <c r="C21" i="1"/>
  <c r="B6" i="3"/>
  <c r="C4" i="5"/>
  <c r="C19" i="1"/>
  <c r="B7" i="3"/>
  <c r="C4" i="1"/>
  <c r="C6" i="3"/>
  <c r="C16" i="1"/>
  <c r="C9" i="5"/>
  <c r="B8" i="1"/>
  <c r="C6" i="5"/>
  <c r="B20" i="1"/>
  <c r="C3" i="5"/>
  <c r="B14" i="1"/>
  <c r="C8" i="3"/>
  <c r="C25" i="1"/>
  <c r="B4" i="3"/>
  <c r="D2" i="9"/>
  <c r="D9" i="9"/>
  <c r="D11" i="9"/>
  <c r="B12" i="3"/>
  <c r="C5" i="1"/>
  <c r="C11" i="3"/>
  <c r="C17" i="1"/>
  <c r="C18" i="3"/>
  <c r="B9" i="3"/>
  <c r="C10" i="3"/>
  <c r="C8" i="1"/>
  <c r="C2" i="3"/>
  <c r="C12" i="1"/>
  <c r="B14" i="3"/>
  <c r="C3" i="1"/>
  <c r="B9" i="1"/>
  <c r="C13" i="3"/>
  <c r="C13" i="1"/>
  <c r="B13" i="3"/>
  <c r="C7" i="1"/>
  <c r="C12" i="3"/>
  <c r="C24" i="1"/>
  <c r="C5" i="3"/>
  <c r="C14" i="1"/>
  <c r="B17" i="3"/>
  <c r="C11" i="1"/>
  <c r="B5" i="3"/>
  <c r="C18" i="1"/>
  <c r="B18" i="3"/>
  <c r="C8" i="5"/>
  <c r="B8" i="3"/>
  <c r="D8" i="9"/>
  <c r="D7" i="9"/>
  <c r="B10" i="3"/>
  <c r="B18" i="1"/>
  <c r="C12" i="5"/>
  <c r="C22" i="1"/>
  <c r="C20" i="1"/>
  <c r="B11" i="5"/>
  <c r="C15" i="3"/>
  <c r="C3" i="3"/>
  <c r="B15" i="3"/>
  <c r="C10" i="1"/>
  <c r="C2" i="1"/>
  <c r="C23" i="1"/>
  <c r="B2" i="6"/>
  <c r="C14" i="3"/>
  <c r="B3" i="1"/>
  <c r="D10" i="9"/>
  <c r="D3" i="9"/>
  <c r="B13" i="1"/>
  <c r="C17" i="3"/>
  <c r="C9" i="3"/>
  <c r="C16" i="3"/>
  <c r="C4" i="3"/>
  <c r="B16" i="3"/>
  <c r="B2" i="3"/>
  <c r="C6" i="1"/>
  <c r="C4" i="6"/>
  <c r="C7" i="3"/>
  <c r="B11" i="3"/>
  <c r="B3" i="3"/>
  <c r="B12" i="1"/>
  <c r="D5" i="9"/>
  <c r="D4" i="9"/>
  <c r="D7" i="3"/>
  <c r="D16" i="3"/>
  <c r="D2" i="6"/>
  <c r="D3" i="3"/>
  <c r="D12" i="5"/>
  <c r="D14" i="1"/>
  <c r="D7" i="1"/>
  <c r="D12" i="1"/>
  <c r="D17" i="1"/>
  <c r="D8" i="3"/>
  <c r="D2" i="5"/>
  <c r="D4" i="6"/>
  <c r="D9" i="3"/>
  <c r="D23" i="1"/>
  <c r="D15" i="3"/>
  <c r="D8" i="5"/>
  <c r="D5" i="3"/>
  <c r="D13" i="1"/>
  <c r="D2" i="3"/>
  <c r="D11" i="3"/>
  <c r="D3" i="5"/>
  <c r="D6" i="3"/>
  <c r="D21" i="1"/>
  <c r="D9" i="1"/>
  <c r="D14" i="5"/>
  <c r="D22" i="1"/>
  <c r="D12" i="3"/>
  <c r="D3" i="1"/>
  <c r="D9" i="5"/>
  <c r="D15" i="1"/>
  <c r="D10" i="5"/>
  <c r="D16" i="1"/>
  <c r="D6" i="1"/>
  <c r="D17" i="3"/>
  <c r="D2" i="1"/>
  <c r="D20" i="1"/>
  <c r="D18" i="1"/>
  <c r="D24" i="1"/>
  <c r="D13" i="3"/>
  <c r="D8" i="1"/>
  <c r="D5" i="1"/>
  <c r="D6" i="5"/>
  <c r="D4" i="1"/>
  <c r="D5" i="5"/>
  <c r="D11" i="5"/>
  <c r="D3" i="6"/>
  <c r="D4" i="3"/>
  <c r="D14" i="3"/>
  <c r="D10" i="1"/>
  <c r="D11" i="1"/>
  <c r="D10" i="3"/>
  <c r="D25" i="1"/>
  <c r="D19" i="1"/>
  <c r="D13" i="5"/>
  <c r="D4" i="5"/>
  <c r="D7" i="5"/>
</calcChain>
</file>

<file path=xl/sharedStrings.xml><?xml version="1.0" encoding="utf-8"?>
<sst xmlns="http://schemas.openxmlformats.org/spreadsheetml/2006/main" count="130" uniqueCount="118">
  <si>
    <t>struct _xmlDoc {</t>
  </si>
  <si>
    <t xml:space="preserve">    void *      _private        : application data</t>
  </si>
  <si>
    <t xml:space="preserve">    struct _xmlNode *   last    : last child link</t>
  </si>
  <si>
    <t xml:space="preserve">    struct _xmlNode *   parent  : child-&gt;parent link</t>
  </si>
  <si>
    <t xml:space="preserve">    struct _xmlNode *   next    : next sibling link</t>
  </si>
  <si>
    <t xml:space="preserve">    struct _xmlNode *   prev    : previous sibling link</t>
  </si>
  <si>
    <t xml:space="preserve">    void *      psvi    : for type/PSVI information</t>
  </si>
  <si>
    <t>} xmlDoc;</t>
  </si>
  <si>
    <t>void * _private : application data</t>
  </si>
  <si>
    <t>xmlElementType type : XML_DOCUMENT_NODE, must be second !</t>
  </si>
  <si>
    <t>char * name : name/filename/URI of the document</t>
  </si>
  <si>
    <t>struct _xmlNode * children : the document tree</t>
  </si>
  <si>
    <t>struct _xmlNode * last : last child link</t>
  </si>
  <si>
    <t>struct _xmlNode * parent : child-&gt;parent link</t>
  </si>
  <si>
    <t>struct _xmlNode * next : next sibling link</t>
  </si>
  <si>
    <t>struct _xmlNode * prev : previous sibling link</t>
  </si>
  <si>
    <t>struct _xmlDoc * doc : autoreference to itself End of common part</t>
  </si>
  <si>
    <t>int compression : level of zlib compression</t>
  </si>
  <si>
    <t>int standalone : standalone document (no external refs) 1 if standalone="yes" 0 if sta</t>
  </si>
  <si>
    <t>struct _xmlDtd * intSubset : the document internal subset</t>
  </si>
  <si>
    <t>struct _xmlDtd * extSubset : the document external subset</t>
  </si>
  <si>
    <t>struct _xmlNs * oldNs : Global namespace, the old way</t>
  </si>
  <si>
    <t>const xmlChar * version : the XML version string</t>
  </si>
  <si>
    <t>const xmlChar * encoding : external initial encoding, if any</t>
  </si>
  <si>
    <t>void * ids : Hash table for ID attributes if any</t>
  </si>
  <si>
    <t>void * refs : Hash table for IDREFs attributes if any</t>
  </si>
  <si>
    <t>const xmlChar * URL : The URI for that document</t>
  </si>
  <si>
    <t>int charset : Internal flag for charset handling, actually an xmlCharEncoding</t>
  </si>
  <si>
    <t>struct _xmlDict * dict : dict used to allocate names or NULL</t>
  </si>
  <si>
    <t>void * psvi : for type/PSVI information</t>
  </si>
  <si>
    <t>int parseFlags : set of xmlParserOption used to parse the document</t>
  </si>
  <si>
    <t>int properties : set of xmlDocProperties for this document set at the end of parsing</t>
  </si>
  <si>
    <t>void*</t>
  </si>
  <si>
    <t>xmlElementType</t>
  </si>
  <si>
    <t>char*</t>
  </si>
  <si>
    <t>_xmlNode*</t>
  </si>
  <si>
    <t>_xmlDoc*</t>
  </si>
  <si>
    <t>int</t>
  </si>
  <si>
    <t>_xmlDtd*</t>
  </si>
  <si>
    <t>_xmlNs*</t>
  </si>
  <si>
    <t>xmlChar*</t>
  </si>
  <si>
    <t>_xmlDict*</t>
  </si>
  <si>
    <t>ctypes.c_void_p</t>
  </si>
  <si>
    <t>ctypes.c_char_p</t>
  </si>
  <si>
    <t>ctypes.c_int</t>
  </si>
  <si>
    <t>ctypes.c_uint16</t>
  </si>
  <si>
    <t>struct _xmlNode {</t>
  </si>
  <si>
    <t xml:space="preserve">    xmlElementType      type    : type number, must be second !</t>
  </si>
  <si>
    <t xml:space="preserve">    const xmlChar *     name    : the name of the node, or the entity</t>
  </si>
  <si>
    <t xml:space="preserve">    struct _xmlNode *   children        : parent-&gt;childs link</t>
  </si>
  <si>
    <t xml:space="preserve">    struct _xmlDoc *    doc     : the containing document End of common part</t>
  </si>
  <si>
    <t xml:space="preserve">    xmlNs *     ns      : pointer to the associated namespace</t>
  </si>
  <si>
    <t xml:space="preserve">    xmlChar *   content : the content</t>
  </si>
  <si>
    <t xml:space="preserve">    struct _xmlAttr *   properties      : properties list</t>
  </si>
  <si>
    <t xml:space="preserve">    xmlNs *     nsDef   : namespace definitions on this node</t>
  </si>
  <si>
    <t xml:space="preserve">    unsigned short      line    : line number</t>
  </si>
  <si>
    <t xml:space="preserve">    unsigned short      extra   : extra data for XPath/XSLT</t>
  </si>
  <si>
    <t>} xmlNode;</t>
  </si>
  <si>
    <t>_xmlAttr*</t>
  </si>
  <si>
    <t>xmlNs*</t>
  </si>
  <si>
    <t>unsignedshort</t>
  </si>
  <si>
    <t>struct _xmlError {</t>
  </si>
  <si>
    <t xml:space="preserve">    int domain  : What part of the library raised this error</t>
  </si>
  <si>
    <t xml:space="preserve">    int code    : The error code, e.g. an xmlParserError</t>
  </si>
  <si>
    <t xml:space="preserve">    char *      message : human-readable informative error message</t>
  </si>
  <si>
    <t xml:space="preserve">    xmlErrorLevel       level   : how consequent is the error</t>
  </si>
  <si>
    <t xml:space="preserve">    char *      file    : the filename</t>
  </si>
  <si>
    <t xml:space="preserve">    int line    : the line number if available</t>
  </si>
  <si>
    <t xml:space="preserve">    char *      str1    : extra string information</t>
  </si>
  <si>
    <t xml:space="preserve">    char *      str2    : extra string information</t>
  </si>
  <si>
    <t xml:space="preserve">    char *      str3    : extra string information</t>
  </si>
  <si>
    <t xml:space="preserve">    int int1    : extra number information</t>
  </si>
  <si>
    <t xml:space="preserve">    int int2    : error column # or 0 if N/A (todo: rename field when we would brk ABI)</t>
  </si>
  <si>
    <t xml:space="preserve">    void *      ctxt    : the parser context if available</t>
  </si>
  <si>
    <t xml:space="preserve">    void *      node    : the node in the tree</t>
  </si>
  <si>
    <t>} xmlError;</t>
  </si>
  <si>
    <t>xmlErrorLevel</t>
  </si>
  <si>
    <t>ctypes.c_uint32</t>
  </si>
  <si>
    <t>struct _xmlNodeSet {</t>
  </si>
  <si>
    <t>} xmlNodeSet;</t>
  </si>
  <si>
    <t xml:space="preserve">    int nodeNr : number of nodes in the set</t>
  </si>
  <si>
    <t xml:space="preserve">    int nodeMax : size of the array as allocated</t>
  </si>
  <si>
    <t xml:space="preserve">    xmlNodePtr * nodeTab : array of nodes in no particular order @@ with_ns to check whether nam</t>
  </si>
  <si>
    <t>xmlNodePtr*</t>
  </si>
  <si>
    <t>struct _xmlXPathParserContext {</t>
  </si>
  <si>
    <t xml:space="preserve">    const xmlChar * cur : the current char being parsed</t>
  </si>
  <si>
    <t xml:space="preserve">    const xmlChar * base : the full expression</t>
  </si>
  <si>
    <t xml:space="preserve">    int error : error code</t>
  </si>
  <si>
    <t xml:space="preserve">    xmlXPathContextPtr context : the evaluation context</t>
  </si>
  <si>
    <t xml:space="preserve">    xmlXPathObjectPtr value : the current value</t>
  </si>
  <si>
    <t xml:space="preserve">    int valueNr : number of values stacked</t>
  </si>
  <si>
    <t xml:space="preserve">    int valueMax : max number of values stacked</t>
  </si>
  <si>
    <t xml:space="preserve">    xmlXPathObjectPtr * valueTab : stack of values</t>
  </si>
  <si>
    <t xml:space="preserve">    xmlXPathCompExprPtr comp : the precompiled expression</t>
  </si>
  <si>
    <t xml:space="preserve">    int xptr : it this an XPointer expression</t>
  </si>
  <si>
    <t xml:space="preserve">    xmlNodePtr ancestor : used for walking preceding axis</t>
  </si>
  <si>
    <t xml:space="preserve">    int valueFrame : used to limit Pop on the stack</t>
  </si>
  <si>
    <t>} xmlXPathParserContext;</t>
  </si>
  <si>
    <t>xmlXPathContextPtr</t>
  </si>
  <si>
    <t>xmlXPathObjectPtr</t>
  </si>
  <si>
    <t>xmlXPathObjectPtr*</t>
  </si>
  <si>
    <t>xmlXPathCompExprPtr</t>
  </si>
  <si>
    <t>xmlNodePtr</t>
  </si>
  <si>
    <t>struct xmlXPathObject {</t>
  </si>
  <si>
    <t>};</t>
  </si>
  <si>
    <t xml:space="preserve">    xmlXPathObjectType type : </t>
  </si>
  <si>
    <t xml:space="preserve">    xmlNodeSetPtr nodesetval : </t>
  </si>
  <si>
    <t xml:space="preserve">    int boolval : </t>
  </si>
  <si>
    <t xml:space="preserve">    double floatval : </t>
  </si>
  <si>
    <t xml:space="preserve">    int index : </t>
  </si>
  <si>
    <t xml:space="preserve">    int index2 : </t>
  </si>
  <si>
    <t xml:space="preserve">    xmlChar * stringval : </t>
  </si>
  <si>
    <t xml:space="preserve">    void * user : </t>
  </si>
  <si>
    <t xml:space="preserve">    void * user2 : </t>
  </si>
  <si>
    <t>double</t>
  </si>
  <si>
    <t>ctypes.c_double</t>
  </si>
  <si>
    <t>xmlXPathObjectType</t>
  </si>
  <si>
    <t>xmlNodeSetPtr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</si>
</sst>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26"/>
  <sheetViews>
    <sheetView workbookViewId="0">
      <selection activeCell="A28" sqref="A28"/>
    </sheetView>
  </sheetViews>
  <sheetFormatPr defaultRowHeight="15" x14ac:dyDescent="0.25"/>
  <cols>
    <col min="1" max="1" width="38.5703125" customWidth="1"/>
    <col min="2" max="2" width="14.5703125" bestFit="1" customWidth="1"/>
    <col min="3" max="3" width="11.28515625" bestFit="1" customWidth="1"/>
  </cols>
  <sheetData>
    <row r="1" spans="1:4" x14ac:dyDescent="0.25">
      <c r="A1" t="s">
        <v>0</v>
      </c>
    </row>
    <row r="2" spans="1:4" x14ac:dyDescent="0.25">
      <c r="A2" t="s">
        <v>8</v>
      </c>
      <c r="B2" t="str">
        <f>ExtractNthWord(TRIM($A2),WordPos(A2, ":")-2) &amp; ExtractNthWord(TRIM($A2),WordPos(A2, ":")-1)</f>
        <v>void*</v>
      </c>
      <c r="C2" t="str">
        <f>ExtractNthWord(TRIM($A2),WordPos(A2, ":"))</f>
        <v>_private</v>
      </c>
      <c r="D2" t="str">
        <f>"(""" &amp; C2 &amp; """," &amp; VLOOKUP(B2, Types!$A$1:$B$23, 2, FALSE) &amp; "),     " &amp; CONCATENATE("#   ", PostStr($A2, ":"))</f>
        <v>("_private",ctypes.c_void_p),     #    application data</v>
      </c>
    </row>
    <row r="3" spans="1:4" x14ac:dyDescent="0.25">
      <c r="A3" t="s">
        <v>9</v>
      </c>
      <c r="B3" t="str">
        <f>ExtractNthWord(TRIM($A3),WordPos(A3, ":")-1)</f>
        <v>xmlElementType</v>
      </c>
      <c r="C3" t="str">
        <f>ExtractNthWord(TRIM($A3),WordPos(A3, ":"))</f>
        <v>type</v>
      </c>
      <c r="D3" t="str">
        <f>"(""" &amp; C3 &amp; """," &amp; VLOOKUP(B3, Types!$A$1:$B$23, 2, FALSE) &amp; "),     " &amp; CONCATENATE("#   ", PostStr($A3, ":"))</f>
        <v>("type",ctypes.c_uint16),     #    XML_DOCUMENT_NODE, must be second !</v>
      </c>
    </row>
    <row r="4" spans="1:4" x14ac:dyDescent="0.25">
      <c r="A4" t="s">
        <v>10</v>
      </c>
      <c r="B4" t="str">
        <f>ExtractNthWord(TRIM($A4),WordPos(A4, ":")-2) &amp; ExtractNthWord(TRIM($A4),WordPos(A4, ":")-1)</f>
        <v>char*</v>
      </c>
      <c r="C4" t="str">
        <f>ExtractNthWord(TRIM($A4),WordPos(A4, ":"))</f>
        <v>name</v>
      </c>
      <c r="D4" t="str">
        <f>"(""" &amp; C4 &amp; """," &amp; VLOOKUP(B4, Types!$A$1:$B$23, 2, FALSE) &amp; "),     " &amp; CONCATENATE("#   ", PostStr($A4, ":"))</f>
        <v>("name",ctypes.c_char_p),     #    name/filename/URI of the document</v>
      </c>
    </row>
    <row r="5" spans="1:4" x14ac:dyDescent="0.25">
      <c r="A5" t="s">
        <v>11</v>
      </c>
      <c r="B5" t="str">
        <f>ExtractNthWord(TRIM($A5),WordPos(A5, ":")-2) &amp; ExtractNthWord(TRIM($A5),WordPos(A5, ":")-1)</f>
        <v>_xmlNode*</v>
      </c>
      <c r="C5" t="str">
        <f>ExtractNthWord(TRIM($A5),WordPos(A5, ":"))</f>
        <v>children</v>
      </c>
      <c r="D5" t="str">
        <f>"(""" &amp; C5 &amp; """," &amp; VLOOKUP(B5, Types!$A$1:$B$23, 2, FALSE) &amp; "),     " &amp; CONCATENATE("#   ", PostStr($A5, ":"))</f>
        <v>("children",ctypes.c_void_p),     #    the document tree</v>
      </c>
    </row>
    <row r="6" spans="1:4" x14ac:dyDescent="0.25">
      <c r="A6" t="s">
        <v>12</v>
      </c>
      <c r="B6" t="str">
        <f>ExtractNthWord(TRIM($A6),WordPos(A6, ":")-2) &amp; ExtractNthWord(TRIM($A6),WordPos(A6, ":")-1)</f>
        <v>_xmlNode*</v>
      </c>
      <c r="C6" t="str">
        <f>ExtractNthWord(TRIM($A6),WordPos(A6, ":"))</f>
        <v>last</v>
      </c>
      <c r="D6" t="str">
        <f>"(""" &amp; C6 &amp; """," &amp; VLOOKUP(B6, Types!$A$1:$B$23, 2, FALSE) &amp; "),     " &amp; CONCATENATE("#   ", PostStr($A6, ":"))</f>
        <v>("last",ctypes.c_void_p),     #    last child link</v>
      </c>
    </row>
    <row r="7" spans="1:4" x14ac:dyDescent="0.25">
      <c r="A7" t="s">
        <v>13</v>
      </c>
      <c r="B7" t="str">
        <f>ExtractNthWord(TRIM($A7),WordPos(A7, ":")-2) &amp; ExtractNthWord(TRIM($A7),WordPos(A7, ":")-1)</f>
        <v>_xmlNode*</v>
      </c>
      <c r="C7" t="str">
        <f>ExtractNthWord(TRIM($A7),WordPos(A7, ":"))</f>
        <v>parent</v>
      </c>
      <c r="D7" t="str">
        <f>"(""" &amp; C7 &amp; """," &amp; VLOOKUP(B7, Types!$A$1:$B$23, 2, FALSE) &amp; "),     " &amp; CONCATENATE("#   ", PostStr($A7, ":"))</f>
        <v>("parent",ctypes.c_void_p),     #    child-&gt;parent link</v>
      </c>
    </row>
    <row r="8" spans="1:4" x14ac:dyDescent="0.25">
      <c r="A8" t="s">
        <v>14</v>
      </c>
      <c r="B8" t="str">
        <f>ExtractNthWord(TRIM($A8),WordPos(A8, ":")-2) &amp; ExtractNthWord(TRIM($A8),WordPos(A8, ":")-1)</f>
        <v>_xmlNode*</v>
      </c>
      <c r="C8" t="str">
        <f>ExtractNthWord(TRIM($A8),WordPos(A8, ":"))</f>
        <v>next</v>
      </c>
      <c r="D8" t="str">
        <f>"(""" &amp; C8 &amp; """," &amp; VLOOKUP(B8, Types!$A$1:$B$23, 2, FALSE) &amp; "),     " &amp; CONCATENATE("#   ", PostStr($A8, ":"))</f>
        <v>("next",ctypes.c_void_p),     #    next sibling link</v>
      </c>
    </row>
    <row r="9" spans="1:4" x14ac:dyDescent="0.25">
      <c r="A9" t="s">
        <v>15</v>
      </c>
      <c r="B9" t="str">
        <f>ExtractNthWord(TRIM($A9),WordPos(A9, ":")-2) &amp; ExtractNthWord(TRIM($A9),WordPos(A9, ":")-1)</f>
        <v>_xmlNode*</v>
      </c>
      <c r="C9" t="str">
        <f>ExtractNthWord(TRIM($A9),WordPos(A9, ":"))</f>
        <v>prev</v>
      </c>
      <c r="D9" t="str">
        <f>"(""" &amp; C9 &amp; """," &amp; VLOOKUP(B9, Types!$A$1:$B$23, 2, FALSE) &amp; "),     " &amp; CONCATENATE("#   ", PostStr($A9, ":"))</f>
        <v>("prev",ctypes.c_void_p),     #    previous sibling link</v>
      </c>
    </row>
    <row r="10" spans="1:4" x14ac:dyDescent="0.25">
      <c r="A10" t="s">
        <v>16</v>
      </c>
      <c r="B10" t="str">
        <f>ExtractNthWord(TRIM($A10),WordPos(A10, ":")-2) &amp; ExtractNthWord(TRIM($A10),WordPos(A10, ":")-1)</f>
        <v>_xmlDoc*</v>
      </c>
      <c r="C10" t="str">
        <f>ExtractNthWord(TRIM($A10),WordPos(A10, ":"))</f>
        <v>doc</v>
      </c>
      <c r="D10" t="str">
        <f>"(""" &amp; C10 &amp; """," &amp; VLOOKUP(B10, Types!$A$1:$B$23, 2, FALSE) &amp; "),     " &amp; CONCATENATE("#   ", PostStr($A10, ":"))</f>
        <v>("doc",ctypes.c_void_p),     #    autoreference to itself End of common part</v>
      </c>
    </row>
    <row r="11" spans="1:4" x14ac:dyDescent="0.25">
      <c r="A11" t="s">
        <v>17</v>
      </c>
      <c r="B11" t="str">
        <f>ExtractNthWord(TRIM($A11),WordPos(A11, ":")-1)</f>
        <v>int</v>
      </c>
      <c r="C11" t="str">
        <f>ExtractNthWord(TRIM($A11),WordPos(A11, ":"))</f>
        <v>compression</v>
      </c>
      <c r="D11" t="str">
        <f>"(""" &amp; C11 &amp; """," &amp; VLOOKUP(B11, Types!$A$1:$B$23, 2, FALSE) &amp; "),     " &amp; CONCATENATE("#   ", PostStr($A11, ":"))</f>
        <v>("compression",ctypes.c_int),     #    level of zlib compression</v>
      </c>
    </row>
    <row r="12" spans="1:4" x14ac:dyDescent="0.25">
      <c r="A12" t="s">
        <v>18</v>
      </c>
      <c r="B12" t="str">
        <f>ExtractNthWord(TRIM($A12),WordPos(A12, ":")-1)</f>
        <v>int</v>
      </c>
      <c r="C12" t="str">
        <f>ExtractNthWord(TRIM($A12),WordPos(A12, ":"))</f>
        <v>standalone</v>
      </c>
      <c r="D12" t="str">
        <f>"(""" &amp; C12 &amp; """," &amp; VLOOKUP(B12, Types!$A$1:$B$23, 2, FALSE) &amp; "),     " &amp; CONCATENATE("#   ", PostStr($A12, ":"))</f>
        <v>("standalone",ctypes.c_int),     #    standalone document (no external refs) 1 if standalone="yes" 0 if sta</v>
      </c>
    </row>
    <row r="13" spans="1:4" x14ac:dyDescent="0.25">
      <c r="A13" t="s">
        <v>19</v>
      </c>
      <c r="B13" t="str">
        <f>ExtractNthWord(TRIM($A13),WordPos(A13, ":")-2) &amp; ExtractNthWord(TRIM($A13),WordPos(A13, ":")-1)</f>
        <v>_xmlDtd*</v>
      </c>
      <c r="C13" t="str">
        <f>ExtractNthWord(TRIM($A13),WordPos(A13, ":"))</f>
        <v>intSubset</v>
      </c>
      <c r="D13" t="str">
        <f>"(""" &amp; C13 &amp; """," &amp; VLOOKUP(B13, Types!$A$1:$B$23, 2, FALSE) &amp; "),     " &amp; CONCATENATE("#   ", PostStr($A13, ":"))</f>
        <v>("intSubset",ctypes.c_void_p),     #    the document internal subset</v>
      </c>
    </row>
    <row r="14" spans="1:4" x14ac:dyDescent="0.25">
      <c r="A14" t="s">
        <v>20</v>
      </c>
      <c r="B14" t="str">
        <f>ExtractNthWord(TRIM($A14),WordPos(A14, ":")-2) &amp; ExtractNthWord(TRIM($A14),WordPos(A14, ":")-1)</f>
        <v>_xmlDtd*</v>
      </c>
      <c r="C14" t="str">
        <f>ExtractNthWord(TRIM($A14),WordPos(A14, ":"))</f>
        <v>extSubset</v>
      </c>
      <c r="D14" t="str">
        <f>"(""" &amp; C14 &amp; """," &amp; VLOOKUP(B14, Types!$A$1:$B$23, 2, FALSE) &amp; "),     " &amp; CONCATENATE("#   ", PostStr($A14, ":"))</f>
        <v>("extSubset",ctypes.c_void_p),     #    the document external subset</v>
      </c>
    </row>
    <row r="15" spans="1:4" x14ac:dyDescent="0.25">
      <c r="A15" t="s">
        <v>21</v>
      </c>
      <c r="B15" t="str">
        <f>ExtractNthWord(TRIM($A15),WordPos(A15, ":")-2) &amp; ExtractNthWord(TRIM($A15),WordPos(A15, ":")-1)</f>
        <v>_xmlNs*</v>
      </c>
      <c r="C15" t="str">
        <f>ExtractNthWord(TRIM($A15),WordPos(A15, ":"))</f>
        <v>oldNs</v>
      </c>
      <c r="D15" t="str">
        <f>"(""" &amp; C15 &amp; """," &amp; VLOOKUP(B15, Types!$A$1:$B$23, 2, FALSE) &amp; "),     " &amp; CONCATENATE("#   ", PostStr($A15, ":"))</f>
        <v>("oldNs",ctypes.c_void_p),     #    Global namespace, the old way</v>
      </c>
    </row>
    <row r="16" spans="1:4" x14ac:dyDescent="0.25">
      <c r="A16" t="s">
        <v>22</v>
      </c>
      <c r="B16" t="str">
        <f>ExtractNthWord(TRIM($A16),WordPos(A16, ":")-2) &amp; ExtractNthWord(TRIM($A16),WordPos(A16, ":")-1)</f>
        <v>xmlChar*</v>
      </c>
      <c r="C16" t="str">
        <f>ExtractNthWord(TRIM($A16),WordPos(A16, ":"))</f>
        <v>version</v>
      </c>
      <c r="D16" t="str">
        <f>"(""" &amp; C16 &amp; """," &amp; VLOOKUP(B16, Types!$A$1:$B$23, 2, FALSE) &amp; "),     " &amp; CONCATENATE("#   ", PostStr($A16, ":"))</f>
        <v>("version",ctypes.c_char_p),     #    the XML version string</v>
      </c>
    </row>
    <row r="17" spans="1:4" x14ac:dyDescent="0.25">
      <c r="A17" t="s">
        <v>23</v>
      </c>
      <c r="B17" t="str">
        <f>ExtractNthWord(TRIM($A17),WordPos(A17, ":")-2) &amp; ExtractNthWord(TRIM($A17),WordPos(A17, ":")-1)</f>
        <v>xmlChar*</v>
      </c>
      <c r="C17" t="str">
        <f>ExtractNthWord(TRIM($A17),WordPos(A17, ":"))</f>
        <v>encoding</v>
      </c>
      <c r="D17" t="str">
        <f>"(""" &amp; C17 &amp; """," &amp; VLOOKUP(B17, Types!$A$1:$B$23, 2, FALSE) &amp; "),     " &amp; CONCATENATE("#   ", PostStr($A17, ":"))</f>
        <v>("encoding",ctypes.c_char_p),     #    external initial encoding, if any</v>
      </c>
    </row>
    <row r="18" spans="1:4" x14ac:dyDescent="0.25">
      <c r="A18" t="s">
        <v>24</v>
      </c>
      <c r="B18" t="str">
        <f>ExtractNthWord(TRIM($A18),WordPos(A18, ":")-2) &amp; ExtractNthWord(TRIM($A18),WordPos(A18, ":")-1)</f>
        <v>void*</v>
      </c>
      <c r="C18" t="str">
        <f>ExtractNthWord(TRIM($A18),WordPos(A18, ":"))</f>
        <v>ids</v>
      </c>
      <c r="D18" t="str">
        <f>"(""" &amp; C18 &amp; """," &amp; VLOOKUP(B18, Types!$A$1:$B$23, 2, FALSE) &amp; "),     " &amp; CONCATENATE("#   ", PostStr($A18, ":"))</f>
        <v>("ids",ctypes.c_void_p),     #    Hash table for ID attributes if any</v>
      </c>
    </row>
    <row r="19" spans="1:4" x14ac:dyDescent="0.25">
      <c r="A19" t="s">
        <v>25</v>
      </c>
      <c r="B19" t="str">
        <f>ExtractNthWord(TRIM($A19),WordPos(A19, ":")-2) &amp; ExtractNthWord(TRIM($A19),WordPos(A19, ":")-1)</f>
        <v>void*</v>
      </c>
      <c r="C19" t="str">
        <f>ExtractNthWord(TRIM($A19),WordPos(A19, ":"))</f>
        <v>refs</v>
      </c>
      <c r="D19" t="str">
        <f>"(""" &amp; C19 &amp; """," &amp; VLOOKUP(B19, Types!$A$1:$B$23, 2, FALSE) &amp; "),     " &amp; CONCATENATE("#   ", PostStr($A19, ":"))</f>
        <v>("refs",ctypes.c_void_p),     #    Hash table for IDREFs attributes if any</v>
      </c>
    </row>
    <row r="20" spans="1:4" x14ac:dyDescent="0.25">
      <c r="A20" t="s">
        <v>26</v>
      </c>
      <c r="B20" t="str">
        <f>ExtractNthWord(TRIM($A20),WordPos(A20, ":")-2) &amp; ExtractNthWord(TRIM($A20),WordPos(A20, ":")-1)</f>
        <v>xmlChar*</v>
      </c>
      <c r="C20" t="str">
        <f>ExtractNthWord(TRIM($A20),WordPos(A20, ":"))</f>
        <v>URL</v>
      </c>
      <c r="D20" t="str">
        <f>"(""" &amp; C20 &amp; """," &amp; VLOOKUP(B20, Types!$A$1:$B$23, 2, FALSE) &amp; "),     " &amp; CONCATENATE("#   ", PostStr($A20, ":"))</f>
        <v>("URL",ctypes.c_char_p),     #    The URI for that document</v>
      </c>
    </row>
    <row r="21" spans="1:4" x14ac:dyDescent="0.25">
      <c r="A21" t="s">
        <v>27</v>
      </c>
      <c r="B21" t="str">
        <f>ExtractNthWord(TRIM($A21),WordPos(A21, ":")-1)</f>
        <v>int</v>
      </c>
      <c r="C21" t="str">
        <f>ExtractNthWord(TRIM($A21),WordPos(A21, ":"))</f>
        <v>charset</v>
      </c>
      <c r="D21" t="str">
        <f>"(""" &amp; C21 &amp; """," &amp; VLOOKUP(B21, Types!$A$1:$B$23, 2, FALSE) &amp; "),     " &amp; CONCATENATE("#   ", PostStr($A21, ":"))</f>
        <v>("charset",ctypes.c_int),     #    Internal flag for charset handling, actually an xmlCharEncoding</v>
      </c>
    </row>
    <row r="22" spans="1:4" x14ac:dyDescent="0.25">
      <c r="A22" t="s">
        <v>28</v>
      </c>
      <c r="B22" t="str">
        <f>ExtractNthWord(TRIM($A22),WordPos(A22, ":")-2) &amp; ExtractNthWord(TRIM($A22),WordPos(A22, ":")-1)</f>
        <v>_xmlDict*</v>
      </c>
      <c r="C22" t="str">
        <f>ExtractNthWord(TRIM($A22),WordPos(A22, ":"))</f>
        <v>dict</v>
      </c>
      <c r="D22" t="str">
        <f>"(""" &amp; C22 &amp; """," &amp; VLOOKUP(B22, Types!$A$1:$B$23, 2, FALSE) &amp; "),     " &amp; CONCATENATE("#   ", PostStr($A22, ":"))</f>
        <v>("dict",ctypes.c_void_p),     #    dict used to allocate names or NULL</v>
      </c>
    </row>
    <row r="23" spans="1:4" x14ac:dyDescent="0.25">
      <c r="A23" t="s">
        <v>29</v>
      </c>
      <c r="B23" t="str">
        <f>ExtractNthWord(TRIM($A23),WordPos(A23, ":")-2) &amp; ExtractNthWord(TRIM($A23),WordPos(A23, ":")-1)</f>
        <v>void*</v>
      </c>
      <c r="C23" t="str">
        <f>ExtractNthWord(TRIM($A23),WordPos(A23, ":"))</f>
        <v>psvi</v>
      </c>
      <c r="D23" t="str">
        <f>"(""" &amp; C23 &amp; """," &amp; VLOOKUP(B23, Types!$A$1:$B$23, 2, FALSE) &amp; "),     " &amp; CONCATENATE("#   ", PostStr($A23, ":"))</f>
        <v>("psvi",ctypes.c_void_p),     #    for type/PSVI information</v>
      </c>
    </row>
    <row r="24" spans="1:4" x14ac:dyDescent="0.25">
      <c r="A24" t="s">
        <v>30</v>
      </c>
      <c r="B24" t="str">
        <f>ExtractNthWord(TRIM($A24),WordPos(A24, ":")-1)</f>
        <v>int</v>
      </c>
      <c r="C24" t="str">
        <f>ExtractNthWord(TRIM($A24),WordPos(A24, ":"))</f>
        <v>parseFlags</v>
      </c>
      <c r="D24" t="str">
        <f>"(""" &amp; C24 &amp; """," &amp; VLOOKUP(B24, Types!$A$1:$B$23, 2, FALSE) &amp; "),     " &amp; CONCATENATE("#   ", PostStr($A24, ":"))</f>
        <v>("parseFlags",ctypes.c_int),     #    set of xmlParserOption used to parse the document</v>
      </c>
    </row>
    <row r="25" spans="1:4" x14ac:dyDescent="0.25">
      <c r="A25" t="s">
        <v>31</v>
      </c>
      <c r="B25" t="str">
        <f>ExtractNthWord(TRIM($A25),WordPos(A25, ":")-1)</f>
        <v>int</v>
      </c>
      <c r="C25" t="str">
        <f>ExtractNthWord(TRIM($A25),WordPos(A25, ":"))</f>
        <v>properties</v>
      </c>
      <c r="D25" t="str">
        <f>"(""" &amp; C25 &amp; """," &amp; VLOOKUP(B25, Types!$A$1:$B$23, 2, FALSE) &amp; "),     " &amp; CONCATENATE("#   ", PostStr($A25, ":"))</f>
        <v>("properties",ctypes.c_int),     #    set of xmlDocProperties for this document set at the end of parsing</v>
      </c>
    </row>
    <row r="26" spans="1:4" x14ac:dyDescent="0.25">
      <c r="A26" t="s">
        <v>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9"/>
  <sheetViews>
    <sheetView workbookViewId="0">
      <selection activeCell="F21" sqref="F21"/>
    </sheetView>
  </sheetViews>
  <sheetFormatPr defaultRowHeight="15" x14ac:dyDescent="0.25"/>
  <cols>
    <col min="1" max="1" width="38.5703125" customWidth="1"/>
    <col min="2" max="2" width="14.5703125" bestFit="1" customWidth="1"/>
    <col min="3" max="3" width="11.28515625" bestFit="1" customWidth="1"/>
  </cols>
  <sheetData>
    <row r="1" spans="1:17" x14ac:dyDescent="0.25">
      <c r="A1" t="str">
        <f>TRIM(Q1)</f>
        <v>struct _xmlNode {</v>
      </c>
      <c r="Q1" t="s">
        <v>46</v>
      </c>
    </row>
    <row r="2" spans="1:17" x14ac:dyDescent="0.25">
      <c r="A2" t="str">
        <f t="shared" ref="A2:A19" si="0">TRIM(Q2)</f>
        <v>void * _private : application data</v>
      </c>
      <c r="B2" t="str">
        <f>ExtractNthWord(TRIM($A2),WordPos(A2, ":")-2) &amp; ExtractNthWord(TRIM($A2),WordPos(A2, ":")-1)</f>
        <v>void*</v>
      </c>
      <c r="C2" t="str">
        <f>ExtractNthWord(TRIM($A2),WordPos(A2, ":"))</f>
        <v>_private</v>
      </c>
      <c r="D2" t="str">
        <f>"(""" &amp; C2 &amp; """," &amp; VLOOKUP(B2, Types!$A$1:$B$23, 2, FALSE) &amp; "),     " &amp; CONCATENATE("#   ", PostStr($A2, ":"))</f>
        <v>("_private",ctypes.c_void_p),     #    application data</v>
      </c>
      <c r="Q2" t="s">
        <v>1</v>
      </c>
    </row>
    <row r="3" spans="1:17" x14ac:dyDescent="0.25">
      <c r="A3" t="str">
        <f t="shared" si="0"/>
        <v>xmlElementType type : type number, must be second !</v>
      </c>
      <c r="B3" t="str">
        <f>ExtractNthWord(TRIM($A3),WordPos(A3, ":")-1)</f>
        <v>xmlElementType</v>
      </c>
      <c r="C3" t="str">
        <f>ExtractNthWord(TRIM($A3),WordPos(A3, ":"))</f>
        <v>type</v>
      </c>
      <c r="D3" t="str">
        <f>"(""" &amp; C3 &amp; """," &amp; VLOOKUP(B3, Types!$A$1:$B$23, 2, FALSE) &amp; "),     " &amp; CONCATENATE("#   ", PostStr($A3, ":"))</f>
        <v>("type",ctypes.c_uint16),     #    type number, must be second !</v>
      </c>
      <c r="Q3" t="s">
        <v>47</v>
      </c>
    </row>
    <row r="4" spans="1:17" x14ac:dyDescent="0.25">
      <c r="A4" t="str">
        <f t="shared" si="0"/>
        <v>const xmlChar * name : the name of the node, or the entity</v>
      </c>
      <c r="B4" t="str">
        <f>ExtractNthWord(TRIM($A4),WordPos(A4, ":")-2) &amp; ExtractNthWord(TRIM($A4),WordPos(A4, ":")-1)</f>
        <v>xmlChar*</v>
      </c>
      <c r="C4" t="str">
        <f>ExtractNthWord(TRIM($A4),WordPos(A4, ":"))</f>
        <v>name</v>
      </c>
      <c r="D4" t="str">
        <f>"(""" &amp; C4 &amp; """," &amp; VLOOKUP(B4, Types!$A$1:$B$23, 2, FALSE) &amp; "),     " &amp; CONCATENATE("#   ", PostStr($A4, ":"))</f>
        <v>("name",ctypes.c_char_p),     #    the name of the node, or the entity</v>
      </c>
      <c r="Q4" t="s">
        <v>48</v>
      </c>
    </row>
    <row r="5" spans="1:17" x14ac:dyDescent="0.25">
      <c r="A5" t="str">
        <f t="shared" si="0"/>
        <v>struct _xmlNode * children : parent-&gt;childs link</v>
      </c>
      <c r="B5" t="str">
        <f>ExtractNthWord(TRIM($A5),WordPos(A5, ":")-2) &amp; ExtractNthWord(TRIM($A5),WordPos(A5, ":")-1)</f>
        <v>_xmlNode*</v>
      </c>
      <c r="C5" t="str">
        <f>ExtractNthWord(TRIM($A5),WordPos(A5, ":"))</f>
        <v>children</v>
      </c>
      <c r="D5" t="str">
        <f>"(""" &amp; C5 &amp; """," &amp; VLOOKUP(B5, Types!$A$1:$B$23, 2, FALSE) &amp; "),     " &amp; CONCATENATE("#   ", PostStr($A5, ":"))</f>
        <v>("children",ctypes.c_void_p),     #    parent-&gt;childs link</v>
      </c>
      <c r="Q5" t="s">
        <v>49</v>
      </c>
    </row>
    <row r="6" spans="1:17" x14ac:dyDescent="0.25">
      <c r="A6" t="str">
        <f t="shared" si="0"/>
        <v>struct _xmlNode * last : last child link</v>
      </c>
      <c r="B6" t="str">
        <f>ExtractNthWord(TRIM($A6),WordPos(A6, ":")-2) &amp; ExtractNthWord(TRIM($A6),WordPos(A6, ":")-1)</f>
        <v>_xmlNode*</v>
      </c>
      <c r="C6" t="str">
        <f>ExtractNthWord(TRIM($A6),WordPos(A6, ":"))</f>
        <v>last</v>
      </c>
      <c r="D6" t="str">
        <f>"(""" &amp; C6 &amp; """," &amp; VLOOKUP(B6, Types!$A$1:$B$23, 2, FALSE) &amp; "),     " &amp; CONCATENATE("#   ", PostStr($A6, ":"))</f>
        <v>("last",ctypes.c_void_p),     #    last child link</v>
      </c>
      <c r="Q6" t="s">
        <v>2</v>
      </c>
    </row>
    <row r="7" spans="1:17" x14ac:dyDescent="0.25">
      <c r="A7" t="str">
        <f t="shared" si="0"/>
        <v>struct _xmlNode * parent : child-&gt;parent link</v>
      </c>
      <c r="B7" t="str">
        <f>ExtractNthWord(TRIM($A7),WordPos(A7, ":")-2) &amp; ExtractNthWord(TRIM($A7),WordPos(A7, ":")-1)</f>
        <v>_xmlNode*</v>
      </c>
      <c r="C7" t="str">
        <f>ExtractNthWord(TRIM($A7),WordPos(A7, ":"))</f>
        <v>parent</v>
      </c>
      <c r="D7" t="str">
        <f>"(""" &amp; C7 &amp; """," &amp; VLOOKUP(B7, Types!$A$1:$B$23, 2, FALSE) &amp; "),     " &amp; CONCATENATE("#   ", PostStr($A7, ":"))</f>
        <v>("parent",ctypes.c_void_p),     #    child-&gt;parent link</v>
      </c>
      <c r="Q7" t="s">
        <v>3</v>
      </c>
    </row>
    <row r="8" spans="1:17" x14ac:dyDescent="0.25">
      <c r="A8" t="str">
        <f t="shared" si="0"/>
        <v>struct _xmlNode * next : next sibling link</v>
      </c>
      <c r="B8" t="str">
        <f>ExtractNthWord(TRIM($A8),WordPos(A8, ":")-2) &amp; ExtractNthWord(TRIM($A8),WordPos(A8, ":")-1)</f>
        <v>_xmlNode*</v>
      </c>
      <c r="C8" t="str">
        <f>ExtractNthWord(TRIM($A8),WordPos(A8, ":"))</f>
        <v>next</v>
      </c>
      <c r="D8" t="str">
        <f>"(""" &amp; C8 &amp; """," &amp; VLOOKUP(B8, Types!$A$1:$B$23, 2, FALSE) &amp; "),     " &amp; CONCATENATE("#   ", PostStr($A8, ":"))</f>
        <v>("next",ctypes.c_void_p),     #    next sibling link</v>
      </c>
      <c r="Q8" t="s">
        <v>4</v>
      </c>
    </row>
    <row r="9" spans="1:17" x14ac:dyDescent="0.25">
      <c r="A9" t="str">
        <f t="shared" si="0"/>
        <v>struct _xmlNode * prev : previous sibling link</v>
      </c>
      <c r="B9" t="str">
        <f>ExtractNthWord(TRIM($A9),WordPos(A9, ":")-2) &amp; ExtractNthWord(TRIM($A9),WordPos(A9, ":")-1)</f>
        <v>_xmlNode*</v>
      </c>
      <c r="C9" t="str">
        <f>ExtractNthWord(TRIM($A9),WordPos(A9, ":"))</f>
        <v>prev</v>
      </c>
      <c r="D9" t="str">
        <f>"(""" &amp; C9 &amp; """," &amp; VLOOKUP(B9, Types!$A$1:$B$23, 2, FALSE) &amp; "),     " &amp; CONCATENATE("#   ", PostStr($A9, ":"))</f>
        <v>("prev",ctypes.c_void_p),     #    previous sibling link</v>
      </c>
      <c r="Q9" t="s">
        <v>5</v>
      </c>
    </row>
    <row r="10" spans="1:17" x14ac:dyDescent="0.25">
      <c r="A10" t="str">
        <f t="shared" si="0"/>
        <v>struct _xmlDoc * doc : the containing document End of common part</v>
      </c>
      <c r="B10" t="str">
        <f>ExtractNthWord(TRIM($A10),WordPos(A10, ":")-2) &amp; ExtractNthWord(TRIM($A10),WordPos(A10, ":")-1)</f>
        <v>_xmlDoc*</v>
      </c>
      <c r="C10" t="str">
        <f>ExtractNthWord(TRIM($A10),WordPos(A10, ":"))</f>
        <v>doc</v>
      </c>
      <c r="D10" t="str">
        <f>"(""" &amp; C10 &amp; """," &amp; VLOOKUP(B10, Types!$A$1:$B$23, 2, FALSE) &amp; "),     " &amp; CONCATENATE("#   ", PostStr($A10, ":"))</f>
        <v>("doc",ctypes.c_void_p),     #    the containing document End of common part</v>
      </c>
      <c r="Q10" t="s">
        <v>50</v>
      </c>
    </row>
    <row r="11" spans="1:17" x14ac:dyDescent="0.25">
      <c r="A11" t="str">
        <f t="shared" si="0"/>
        <v>xmlNs * ns : pointer to the associated namespace</v>
      </c>
      <c r="B11" t="str">
        <f>ExtractNthWord(TRIM($A11),WordPos(A11, ":")-1)</f>
        <v>*</v>
      </c>
      <c r="C11" t="str">
        <f>ExtractNthWord(TRIM($A11),WordPos(A11, ":"))</f>
        <v>ns</v>
      </c>
      <c r="D11" t="str">
        <f>"(""" &amp; C11 &amp; """," &amp; VLOOKUP(B11, Types!$A$1:$B$23, 2, FALSE) &amp; "),     " &amp; CONCATENATE("#   ", PostStr($A11, ":"))</f>
        <v>("ns",ctypes.c_void_p),     #    pointer to the associated namespace</v>
      </c>
      <c r="Q11" t="s">
        <v>51</v>
      </c>
    </row>
    <row r="12" spans="1:17" x14ac:dyDescent="0.25">
      <c r="A12" t="str">
        <f t="shared" si="0"/>
        <v>xmlChar * content : the content</v>
      </c>
      <c r="B12" t="str">
        <f>ExtractNthWord(TRIM($A12),WordPos(A12, ":")-1)</f>
        <v>*</v>
      </c>
      <c r="C12" t="str">
        <f>ExtractNthWord(TRIM($A12),WordPos(A12, ":"))</f>
        <v>content</v>
      </c>
      <c r="D12" t="str">
        <f>"(""" &amp; C12 &amp; """," &amp; VLOOKUP(B12, Types!$A$1:$B$23, 2, FALSE) &amp; "),     " &amp; CONCATENATE("#   ", PostStr($A12, ":"))</f>
        <v>("content",ctypes.c_void_p),     #    the content</v>
      </c>
      <c r="Q12" t="s">
        <v>52</v>
      </c>
    </row>
    <row r="13" spans="1:17" x14ac:dyDescent="0.25">
      <c r="A13" t="str">
        <f t="shared" si="0"/>
        <v>struct _xmlAttr * properties : properties list</v>
      </c>
      <c r="B13" t="str">
        <f>ExtractNthWord(TRIM($A13),WordPos(A13, ":")-2) &amp; ExtractNthWord(TRIM($A13),WordPos(A13, ":")-1)</f>
        <v>_xmlAttr*</v>
      </c>
      <c r="C13" t="str">
        <f>ExtractNthWord(TRIM($A13),WordPos(A13, ":"))</f>
        <v>properties</v>
      </c>
      <c r="D13" t="str">
        <f>"(""" &amp; C13 &amp; """," &amp; VLOOKUP(B13, Types!$A$1:$B$23, 2, FALSE) &amp; "),     " &amp; CONCATENATE("#   ", PostStr($A13, ":"))</f>
        <v>("properties",ctypes.c_char_p),     #    properties list</v>
      </c>
      <c r="Q13" t="s">
        <v>53</v>
      </c>
    </row>
    <row r="14" spans="1:17" x14ac:dyDescent="0.25">
      <c r="A14" t="str">
        <f t="shared" si="0"/>
        <v>xmlNs * nsDef : namespace definitions on this node</v>
      </c>
      <c r="B14" t="str">
        <f>ExtractNthWord(TRIM($A14),WordPos(A14, ":")-2) &amp; ExtractNthWord(TRIM($A14),WordPos(A14, ":")-1)</f>
        <v>xmlNs*</v>
      </c>
      <c r="C14" t="str">
        <f>ExtractNthWord(TRIM($A14),WordPos(A14, ":"))</f>
        <v>nsDef</v>
      </c>
      <c r="D14" t="str">
        <f>"(""" &amp; C14 &amp; """," &amp; VLOOKUP(B14, Types!$A$1:$B$23, 2, FALSE) &amp; "),     " &amp; CONCATENATE("#   ", PostStr($A14, ":"))</f>
        <v>("nsDef",ctypes.c_char_p),     #    namespace definitions on this node</v>
      </c>
      <c r="Q14" t="s">
        <v>54</v>
      </c>
    </row>
    <row r="15" spans="1:17" x14ac:dyDescent="0.25">
      <c r="A15" t="str">
        <f t="shared" si="0"/>
        <v>void * psvi : for type/PSVI information</v>
      </c>
      <c r="B15" t="str">
        <f>ExtractNthWord(TRIM($A15),WordPos(A15, ":")-2) &amp; ExtractNthWord(TRIM($A15),WordPos(A15, ":")-1)</f>
        <v>void*</v>
      </c>
      <c r="C15" t="str">
        <f>ExtractNthWord(TRIM($A15),WordPos(A15, ":"))</f>
        <v>psvi</v>
      </c>
      <c r="D15" t="str">
        <f>"(""" &amp; C15 &amp; """," &amp; VLOOKUP(B15, Types!$A$1:$B$23, 2, FALSE) &amp; "),     " &amp; CONCATENATE("#   ", PostStr($A15, ":"))</f>
        <v>("psvi",ctypes.c_void_p),     #    for type/PSVI information</v>
      </c>
      <c r="Q15" t="s">
        <v>6</v>
      </c>
    </row>
    <row r="16" spans="1:17" x14ac:dyDescent="0.25">
      <c r="A16" t="str">
        <f t="shared" si="0"/>
        <v>unsigned short line : line number</v>
      </c>
      <c r="B16" t="str">
        <f>ExtractNthWord(TRIM($A16),WordPos(A16, ":")-2) &amp; ExtractNthWord(TRIM($A16),WordPos(A16, ":")-1)</f>
        <v>unsignedshort</v>
      </c>
      <c r="C16" t="str">
        <f>ExtractNthWord(TRIM($A16),WordPos(A16, ":"))</f>
        <v>line</v>
      </c>
      <c r="D16" t="str">
        <f>"(""" &amp; C16 &amp; """," &amp; VLOOKUP(B16, Types!$A$1:$B$23, 2, FALSE) &amp; "),     " &amp; CONCATENATE("#   ", PostStr($A16, ":"))</f>
        <v>("line",ctypes.c_uint16),     #    line number</v>
      </c>
      <c r="Q16" t="s">
        <v>55</v>
      </c>
    </row>
    <row r="17" spans="1:17" x14ac:dyDescent="0.25">
      <c r="A17" t="str">
        <f t="shared" si="0"/>
        <v>unsigned short extra : extra data for XPath/XSLT</v>
      </c>
      <c r="B17" t="str">
        <f>ExtractNthWord(TRIM($A17),WordPos(A17, ":")-2) &amp; ExtractNthWord(TRIM($A17),WordPos(A17, ":")-1)</f>
        <v>unsignedshort</v>
      </c>
      <c r="C17" t="str">
        <f>ExtractNthWord(TRIM($A17),WordPos(A17, ":"))</f>
        <v>extra</v>
      </c>
      <c r="D17" t="str">
        <f>"(""" &amp; C17 &amp; """," &amp; VLOOKUP(B17, Types!$A$1:$B$23, 2, FALSE) &amp; "),     " &amp; CONCATENATE("#   ", PostStr($A17, ":"))</f>
        <v>("extra",ctypes.c_uint16),     #    extra data for XPath/XSLT</v>
      </c>
      <c r="Q17" t="s">
        <v>56</v>
      </c>
    </row>
    <row r="18" spans="1:17" x14ac:dyDescent="0.25">
      <c r="A18" t="str">
        <f t="shared" si="0"/>
        <v>} xmlNode;</v>
      </c>
      <c r="B18" t="str">
        <f>ExtractNthWord(TRIM($A18),WordPos(A18, ":")-2) &amp; ExtractNthWord(TRIM($A18),WordPos(A18, ":")-1)</f>
        <v/>
      </c>
      <c r="C18" t="str">
        <f>ExtractNthWord(TRIM($A18),WordPos(A18, ":"))</f>
        <v/>
      </c>
      <c r="Q18" t="s">
        <v>57</v>
      </c>
    </row>
    <row r="19" spans="1:17" x14ac:dyDescent="0.25">
      <c r="A19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6"/>
  <sheetViews>
    <sheetView workbookViewId="0">
      <selection activeCell="D24" sqref="D24"/>
    </sheetView>
  </sheetViews>
  <sheetFormatPr defaultRowHeight="15" x14ac:dyDescent="0.25"/>
  <cols>
    <col min="1" max="1" width="66.7109375" bestFit="1" customWidth="1"/>
    <col min="2" max="2" width="14.5703125" bestFit="1" customWidth="1"/>
    <col min="3" max="3" width="11.28515625" bestFit="1" customWidth="1"/>
  </cols>
  <sheetData>
    <row r="1" spans="1:17" x14ac:dyDescent="0.25">
      <c r="A1" t="str">
        <f>TRIM(Q1)</f>
        <v>struct _xmlError {</v>
      </c>
      <c r="Q1" t="s">
        <v>61</v>
      </c>
    </row>
    <row r="2" spans="1:17" x14ac:dyDescent="0.25">
      <c r="A2" t="str">
        <f t="shared" ref="A2:A16" si="0">TRIM(Q2)</f>
        <v>int domain : What part of the library raised this error</v>
      </c>
      <c r="B2" t="str">
        <f>ExtractNthWord(TRIM($A2),WordPos(A2, ":")-1)</f>
        <v>int</v>
      </c>
      <c r="C2" t="str">
        <f>ExtractNthWord(TRIM($A2),WordPos(A2, ":"))</f>
        <v>domain</v>
      </c>
      <c r="D2" t="str">
        <f>"(""" &amp; C2 &amp; """," &amp; VLOOKUP(B2, Types!$A$1:$B$23, 2, FALSE) &amp; "),     " &amp; CONCATENATE("#   ", PostStr($A2, ":"))</f>
        <v>("domain",ctypes.c_int),     #    What part of the library raised this error</v>
      </c>
      <c r="Q2" t="s">
        <v>62</v>
      </c>
    </row>
    <row r="3" spans="1:17" x14ac:dyDescent="0.25">
      <c r="A3" t="str">
        <f t="shared" si="0"/>
        <v>int code : The error code, e.g. an xmlParserError</v>
      </c>
      <c r="B3" t="str">
        <f>ExtractNthWord(TRIM($A3),WordPos(A3, ":")-1)</f>
        <v>int</v>
      </c>
      <c r="C3" t="str">
        <f>ExtractNthWord(TRIM($A3),WordPos(A3, ":"))</f>
        <v>code</v>
      </c>
      <c r="D3" t="str">
        <f>"(""" &amp; C3 &amp; """," &amp; VLOOKUP(B3, Types!$A$1:$B$23, 2, FALSE) &amp; "),     " &amp; CONCATENATE("#   ", PostStr($A3, ":"))</f>
        <v>("code",ctypes.c_int),     #    The error code, e.g. an xmlParserError</v>
      </c>
      <c r="Q3" t="s">
        <v>63</v>
      </c>
    </row>
    <row r="4" spans="1:17" x14ac:dyDescent="0.25">
      <c r="A4" t="str">
        <f t="shared" si="0"/>
        <v>char * message : human-readable informative error message</v>
      </c>
      <c r="B4" t="str">
        <f>ExtractNthWord(TRIM($A4),WordPos(A4, ":")-2) &amp; ExtractNthWord(TRIM($A4),WordPos(A4, ":")-1)</f>
        <v>char*</v>
      </c>
      <c r="C4" t="str">
        <f>ExtractNthWord(TRIM($A4),WordPos(A4, ":"))</f>
        <v>message</v>
      </c>
      <c r="D4" t="str">
        <f>"(""" &amp; C4 &amp; """," &amp; VLOOKUP(B4, Types!$A$1:$B$23, 2, FALSE) &amp; "),     " &amp; CONCATENATE("#   ", PostStr($A4, ":"))</f>
        <v>("message",ctypes.c_char_p),     #    human-readable informative error message</v>
      </c>
      <c r="Q4" t="s">
        <v>64</v>
      </c>
    </row>
    <row r="5" spans="1:17" x14ac:dyDescent="0.25">
      <c r="A5" t="str">
        <f t="shared" si="0"/>
        <v>xmlErrorLevel level : how consequent is the error</v>
      </c>
      <c r="B5" t="str">
        <f>ExtractNthWord(TRIM($A5),WordPos(A5, ":")-1)</f>
        <v>xmlErrorLevel</v>
      </c>
      <c r="C5" t="str">
        <f>ExtractNthWord(TRIM($A5),WordPos(A5, ":"))</f>
        <v>level</v>
      </c>
      <c r="D5" t="str">
        <f>"(""" &amp; C5 &amp; """," &amp; VLOOKUP(B5, Types!$A$1:$B$23, 2, FALSE) &amp; "),     " &amp; CONCATENATE("#   ", PostStr($A5, ":"))</f>
        <v>("level",ctypes.c_uint32),     #    how consequent is the error</v>
      </c>
      <c r="Q5" t="s">
        <v>65</v>
      </c>
    </row>
    <row r="6" spans="1:17" x14ac:dyDescent="0.25">
      <c r="A6" t="str">
        <f t="shared" si="0"/>
        <v>char * file : the filename</v>
      </c>
      <c r="B6" t="str">
        <f>ExtractNthWord(TRIM($A6),WordPos(A6, ":")-2) &amp; ExtractNthWord(TRIM($A6),WordPos(A6, ":")-1)</f>
        <v>char*</v>
      </c>
      <c r="C6" t="str">
        <f>ExtractNthWord(TRIM($A6),WordPos(A6, ":"))</f>
        <v>file</v>
      </c>
      <c r="D6" t="str">
        <f>"(""" &amp; C6 &amp; """," &amp; VLOOKUP(B6, Types!$A$1:$B$23, 2, FALSE) &amp; "),     " &amp; CONCATENATE("#   ", PostStr($A6, ":"))</f>
        <v>("file",ctypes.c_char_p),     #    the filename</v>
      </c>
      <c r="Q6" t="s">
        <v>66</v>
      </c>
    </row>
    <row r="7" spans="1:17" x14ac:dyDescent="0.25">
      <c r="A7" t="str">
        <f t="shared" si="0"/>
        <v>int line : the line number if available</v>
      </c>
      <c r="B7" t="str">
        <f>ExtractNthWord(TRIM($A7),WordPos(A7, ":")-1)</f>
        <v>int</v>
      </c>
      <c r="C7" t="str">
        <f>ExtractNthWord(TRIM($A7),WordPos(A7, ":"))</f>
        <v>line</v>
      </c>
      <c r="D7" t="str">
        <f>"(""" &amp; C7 &amp; """," &amp; VLOOKUP(B7, Types!$A$1:$B$23, 2, FALSE) &amp; "),     " &amp; CONCATENATE("#   ", PostStr($A7, ":"))</f>
        <v>("line",ctypes.c_int),     #    the line number if available</v>
      </c>
      <c r="Q7" t="s">
        <v>67</v>
      </c>
    </row>
    <row r="8" spans="1:17" x14ac:dyDescent="0.25">
      <c r="A8" t="str">
        <f t="shared" si="0"/>
        <v>char * str1 : extra string information</v>
      </c>
      <c r="B8" t="str">
        <f>ExtractNthWord(TRIM($A8),WordPos(A8, ":")-2) &amp; ExtractNthWord(TRIM($A8),WordPos(A8, ":")-1)</f>
        <v>char*</v>
      </c>
      <c r="C8" t="str">
        <f>ExtractNthWord(TRIM($A8),WordPos(A8, ":"))</f>
        <v>str1</v>
      </c>
      <c r="D8" t="str">
        <f>"(""" &amp; C8 &amp; """," &amp; VLOOKUP(B8, Types!$A$1:$B$23, 2, FALSE) &amp; "),     " &amp; CONCATENATE("#   ", PostStr($A8, ":"))</f>
        <v>("str1",ctypes.c_char_p),     #    extra string information</v>
      </c>
      <c r="Q8" t="s">
        <v>68</v>
      </c>
    </row>
    <row r="9" spans="1:17" x14ac:dyDescent="0.25">
      <c r="A9" t="str">
        <f t="shared" si="0"/>
        <v>char * str2 : extra string information</v>
      </c>
      <c r="B9" t="str">
        <f>ExtractNthWord(TRIM($A9),WordPos(A9, ":")-2) &amp; ExtractNthWord(TRIM($A9),WordPos(A9, ":")-1)</f>
        <v>char*</v>
      </c>
      <c r="C9" t="str">
        <f>ExtractNthWord(TRIM($A9),WordPos(A9, ":"))</f>
        <v>str2</v>
      </c>
      <c r="D9" t="str">
        <f>"(""" &amp; C9 &amp; """," &amp; VLOOKUP(B9, Types!$A$1:$B$23, 2, FALSE) &amp; "),     " &amp; CONCATENATE("#   ", PostStr($A9, ":"))</f>
        <v>("str2",ctypes.c_char_p),     #    extra string information</v>
      </c>
      <c r="Q9" t="s">
        <v>69</v>
      </c>
    </row>
    <row r="10" spans="1:17" x14ac:dyDescent="0.25">
      <c r="A10" t="str">
        <f t="shared" si="0"/>
        <v>char * str3 : extra string information</v>
      </c>
      <c r="B10" t="str">
        <f>ExtractNthWord(TRIM($A10),WordPos(A10, ":")-2) &amp; ExtractNthWord(TRIM($A10),WordPos(A10, ":")-1)</f>
        <v>char*</v>
      </c>
      <c r="C10" t="str">
        <f>ExtractNthWord(TRIM($A10),WordPos(A10, ":"))</f>
        <v>str3</v>
      </c>
      <c r="D10" t="str">
        <f>"(""" &amp; C10 &amp; """," &amp; VLOOKUP(B10, Types!$A$1:$B$23, 2, FALSE) &amp; "),     " &amp; CONCATENATE("#   ", PostStr($A10, ":"))</f>
        <v>("str3",ctypes.c_char_p),     #    extra string information</v>
      </c>
      <c r="Q10" t="s">
        <v>70</v>
      </c>
    </row>
    <row r="11" spans="1:17" x14ac:dyDescent="0.25">
      <c r="A11" t="str">
        <f t="shared" si="0"/>
        <v>int int1 : extra number information</v>
      </c>
      <c r="B11" t="str">
        <f>ExtractNthWord(TRIM($A11),WordPos(A11, ":")-1)</f>
        <v>int</v>
      </c>
      <c r="C11" t="str">
        <f>ExtractNthWord(TRIM($A11),WordPos(A11, ":"))</f>
        <v>int1</v>
      </c>
      <c r="D11" t="str">
        <f>"(""" &amp; C11 &amp; """," &amp; VLOOKUP(B11, Types!$A$1:$B$23, 2, FALSE) &amp; "),     " &amp; CONCATENATE("#   ", PostStr($A11, ":"))</f>
        <v>("int1",ctypes.c_int),     #    extra number information</v>
      </c>
      <c r="Q11" t="s">
        <v>71</v>
      </c>
    </row>
    <row r="12" spans="1:17" x14ac:dyDescent="0.25">
      <c r="A12" t="str">
        <f t="shared" si="0"/>
        <v>int int2 : error column # or 0 if N/A (todo: rename field when we would brk ABI)</v>
      </c>
      <c r="B12" t="str">
        <f>ExtractNthWord(TRIM($A12),WordPos(A12, ":")-1)</f>
        <v>int</v>
      </c>
      <c r="C12" t="str">
        <f>ExtractNthWord(TRIM($A12),WordPos(A12, ":"))</f>
        <v>int2</v>
      </c>
      <c r="D12" t="str">
        <f>"(""" &amp; C12 &amp; """," &amp; VLOOKUP(B12, Types!$A$1:$B$23, 2, FALSE) &amp; "),     " &amp; CONCATENATE("#   ", PostStr($A12, ":"))</f>
        <v>("int2",ctypes.c_int),     #    error column # or 0 if N/A (todo: rename field when we would brk ABI)</v>
      </c>
      <c r="Q12" t="s">
        <v>72</v>
      </c>
    </row>
    <row r="13" spans="1:17" x14ac:dyDescent="0.25">
      <c r="A13" t="str">
        <f t="shared" si="0"/>
        <v>void * ctxt : the parser context if available</v>
      </c>
      <c r="B13" t="str">
        <f>ExtractNthWord(TRIM($A13),WordPos(A13, ":")-2) &amp; ExtractNthWord(TRIM($A13),WordPos(A13, ":")-1)</f>
        <v>void*</v>
      </c>
      <c r="C13" t="str">
        <f>ExtractNthWord(TRIM($A13),WordPos(A13, ":"))</f>
        <v>ctxt</v>
      </c>
      <c r="D13" t="str">
        <f>"(""" &amp; C13 &amp; """," &amp; VLOOKUP(B13, Types!$A$1:$B$23, 2, FALSE) &amp; "),     " &amp; CONCATENATE("#   ", PostStr($A13, ":"))</f>
        <v>("ctxt",ctypes.c_void_p),     #    the parser context if available</v>
      </c>
      <c r="Q13" t="s">
        <v>73</v>
      </c>
    </row>
    <row r="14" spans="1:17" x14ac:dyDescent="0.25">
      <c r="A14" t="str">
        <f t="shared" si="0"/>
        <v>void * node : the node in the tree</v>
      </c>
      <c r="B14" t="str">
        <f>ExtractNthWord(TRIM($A14),WordPos(A14, ":")-2) &amp; ExtractNthWord(TRIM($A14),WordPos(A14, ":")-1)</f>
        <v>void*</v>
      </c>
      <c r="C14" t="str">
        <f>ExtractNthWord(TRIM($A14),WordPos(A14, ":"))</f>
        <v>node</v>
      </c>
      <c r="D14" t="str">
        <f>"(""" &amp; C14 &amp; """," &amp; VLOOKUP(B14, Types!$A$1:$B$23, 2, FALSE) &amp; "),     " &amp; CONCATENATE("#   ", PostStr($A14, ":"))</f>
        <v>("node",ctypes.c_void_p),     #    the node in the tree</v>
      </c>
      <c r="Q14" t="s">
        <v>74</v>
      </c>
    </row>
    <row r="15" spans="1:17" x14ac:dyDescent="0.25">
      <c r="A15" t="str">
        <f t="shared" si="0"/>
        <v>} xmlError;</v>
      </c>
      <c r="Q15" t="s">
        <v>75</v>
      </c>
    </row>
    <row r="16" spans="1:17" x14ac:dyDescent="0.25">
      <c r="A16" t="str">
        <f t="shared" si="0"/>
        <v/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5"/>
  <sheetViews>
    <sheetView tabSelected="1" workbookViewId="0">
      <selection activeCell="Q1" sqref="Q1"/>
    </sheetView>
  </sheetViews>
  <sheetFormatPr defaultRowHeight="15" x14ac:dyDescent="0.25"/>
  <cols>
    <col min="1" max="1" width="88.5703125" bestFit="1" customWidth="1"/>
    <col min="2" max="2" width="14.5703125" bestFit="1" customWidth="1"/>
    <col min="3" max="3" width="11.28515625" bestFit="1" customWidth="1"/>
  </cols>
  <sheetData>
    <row r="1" spans="1:17" x14ac:dyDescent="0.25">
      <c r="A1" t="str">
        <f>TRIM(Q1)</f>
        <v>struct _xmlNodeSet {</v>
      </c>
      <c r="Q1" t="s">
        <v>78</v>
      </c>
    </row>
    <row r="2" spans="1:17" x14ac:dyDescent="0.25">
      <c r="A2" t="str">
        <f t="shared" ref="A2:A5" si="0">TRIM(Q2)</f>
        <v>int nodeNr : number of nodes in the set</v>
      </c>
      <c r="B2" t="str">
        <f>ExtractNthWord(TRIM($A2),WordPos(A2, ":")-1)</f>
        <v>int</v>
      </c>
      <c r="C2" t="str">
        <f>ExtractNthWord(TRIM($A2),WordPos(A2, ":"))</f>
        <v>nodeNr</v>
      </c>
      <c r="D2" t="str">
        <f>"(""" &amp; C2 &amp; """," &amp; VLOOKUP(B2, Types!$A$1:$B$23, 2, FALSE) &amp; "),     " &amp; CONCATENATE("#   ", PostStr($A2, ":"))</f>
        <v>("nodeNr",ctypes.c_int),     #    number of nodes in the set</v>
      </c>
      <c r="Q2" t="s">
        <v>80</v>
      </c>
    </row>
    <row r="3" spans="1:17" x14ac:dyDescent="0.25">
      <c r="A3" t="str">
        <f t="shared" si="0"/>
        <v>int nodeMax : size of the array as allocated</v>
      </c>
      <c r="B3" t="str">
        <f>ExtractNthWord(TRIM($A3),WordPos(A3, ":")-1)</f>
        <v>int</v>
      </c>
      <c r="C3" t="str">
        <f>ExtractNthWord(TRIM($A3),WordPos(A3, ":"))</f>
        <v>nodeMax</v>
      </c>
      <c r="D3" t="str">
        <f>"(""" &amp; C3 &amp; """," &amp; VLOOKUP(B3, Types!$A$1:$B$23, 2, FALSE) &amp; "),     " &amp; CONCATENATE("#   ", PostStr($A3, ":"))</f>
        <v>("nodeMax",ctypes.c_int),     #    size of the array as allocated</v>
      </c>
      <c r="Q3" t="s">
        <v>81</v>
      </c>
    </row>
    <row r="4" spans="1:17" x14ac:dyDescent="0.25">
      <c r="A4" t="str">
        <f t="shared" si="0"/>
        <v>xmlNodePtr * nodeTab : array of nodes in no particular order @@ with_ns to check whether nam</v>
      </c>
      <c r="B4" t="str">
        <f>ExtractNthWord(TRIM($A4),WordPos(A4, ":")-2) &amp; ExtractNthWord(TRIM($A4),WordPos(A4, ":")-1)</f>
        <v>xmlNodePtr*</v>
      </c>
      <c r="C4" t="str">
        <f>ExtractNthWord(TRIM($A4),WordPos(A4, ":"))</f>
        <v>nodeTab</v>
      </c>
      <c r="D4" t="str">
        <f>"(""" &amp; C4 &amp; """," &amp; VLOOKUP(B4, Types!$A$1:$B$23, 2, FALSE) &amp; "),     " &amp; CONCATENATE("#   ", PostStr($A4, ":"))</f>
        <v>("nodeTab",ctypes.c_char_p),     #    array of nodes in no particular order @@ with_ns to check whether nam</v>
      </c>
      <c r="Q4" t="s">
        <v>82</v>
      </c>
    </row>
    <row r="5" spans="1:17" x14ac:dyDescent="0.25">
      <c r="A5" t="str">
        <f t="shared" si="0"/>
        <v>} xmlNodeSet;</v>
      </c>
      <c r="B5" t="str">
        <f>ExtractNthWord(TRIM($A5),WordPos(A5, ":")-1)</f>
        <v/>
      </c>
      <c r="C5" t="str">
        <f>ExtractNthWord(TRIM($A5),WordPos(A5, ":"))</f>
        <v/>
      </c>
      <c r="Q5" t="s">
        <v>79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14"/>
  <sheetViews>
    <sheetView workbookViewId="0">
      <selection activeCell="D2" sqref="D2:D13"/>
    </sheetView>
  </sheetViews>
  <sheetFormatPr defaultRowHeight="15" x14ac:dyDescent="0.25"/>
  <cols>
    <col min="1" max="1" width="54" bestFit="1" customWidth="1"/>
    <col min="2" max="2" width="21.42578125" bestFit="1" customWidth="1"/>
    <col min="3" max="3" width="11.28515625" bestFit="1" customWidth="1"/>
  </cols>
  <sheetData>
    <row r="1" spans="1:15" x14ac:dyDescent="0.25">
      <c r="A1" t="str">
        <f>O1</f>
        <v>struct _xmlXPathParserContext {</v>
      </c>
      <c r="O1" t="s">
        <v>84</v>
      </c>
    </row>
    <row r="2" spans="1:15" x14ac:dyDescent="0.25">
      <c r="A2" t="str">
        <f>TRIM(O2)</f>
        <v>const xmlChar * cur : the current char being parsed</v>
      </c>
      <c r="B2" t="str">
        <f>ExtractNthWord(TRIM($A2),WordPos(A2, ":")-2) &amp; ExtractNthWord(TRIM($A2),WordPos(A2, ":")-1)</f>
        <v>xmlChar*</v>
      </c>
      <c r="C2" t="str">
        <f>ExtractNthWord(TRIM($A2),WordPos(A2, ":"))</f>
        <v>cur</v>
      </c>
      <c r="D2" t="str">
        <f>"(""" &amp; C2 &amp; """," &amp; VLOOKUP(B2, Types!$A$1:$B$23, 2, FALSE) &amp; "),     " &amp; CONCATENATE("#   ", PostStr($A2, ":"))</f>
        <v>("cur",ctypes.c_char_p),     #    the current char being parsed</v>
      </c>
      <c r="O2" t="s">
        <v>85</v>
      </c>
    </row>
    <row r="3" spans="1:15" x14ac:dyDescent="0.25">
      <c r="A3" t="str">
        <f t="shared" ref="A3:A13" si="0">TRIM(O3)</f>
        <v>const xmlChar * base : the full expression</v>
      </c>
      <c r="B3" t="str">
        <f>ExtractNthWord(TRIM($A3),WordPos(A3, ":")-1)</f>
        <v>*</v>
      </c>
      <c r="C3" t="str">
        <f>ExtractNthWord(TRIM($A3),WordPos(A3, ":"))</f>
        <v>base</v>
      </c>
      <c r="D3" t="str">
        <f>"(""" &amp; C3 &amp; """," &amp; VLOOKUP(B3, Types!$A$1:$B$23, 2, FALSE) &amp; "),     " &amp; CONCATENATE("#   ", PostStr($A3, ":"))</f>
        <v>("base",ctypes.c_void_p),     #    the full expression</v>
      </c>
      <c r="O3" t="s">
        <v>86</v>
      </c>
    </row>
    <row r="4" spans="1:15" x14ac:dyDescent="0.25">
      <c r="A4" t="str">
        <f t="shared" si="0"/>
        <v>int error : error code</v>
      </c>
      <c r="B4" t="str">
        <f xml:space="preserve"> ExtractNthWord(TRIM($A4),WordPos(A4, ":")-1)</f>
        <v>int</v>
      </c>
      <c r="C4" t="str">
        <f>ExtractNthWord(TRIM($A4),WordPos(A4, ":"))</f>
        <v>error</v>
      </c>
      <c r="D4" t="str">
        <f>"(""" &amp; C4 &amp; """," &amp; VLOOKUP(B4, Types!$A$1:$B$23, 2, FALSE) &amp; "),     " &amp; CONCATENATE("#   ", PostStr($A4, ":"))</f>
        <v>("error",ctypes.c_int),     #    error code</v>
      </c>
      <c r="O4" t="s">
        <v>87</v>
      </c>
    </row>
    <row r="5" spans="1:15" x14ac:dyDescent="0.25">
      <c r="A5" t="str">
        <f t="shared" si="0"/>
        <v>xmlXPathContextPtr context : the evaluation context</v>
      </c>
      <c r="B5" t="str">
        <f xml:space="preserve"> ExtractNthWord(TRIM($A5),WordPos(A5, ":")-1)</f>
        <v>xmlXPathContextPtr</v>
      </c>
      <c r="C5" t="str">
        <f>ExtractNthWord(TRIM($A5),WordPos(A5, ":"))</f>
        <v>context</v>
      </c>
      <c r="D5" t="str">
        <f>"(""" &amp; C5 &amp; """," &amp; VLOOKUP(B5, Types!$A$1:$B$23, 2, FALSE) &amp; "),     " &amp; CONCATENATE("#   ", PostStr($A5, ":"))</f>
        <v>("context",ctypes.c_char_p),     #    the evaluation context</v>
      </c>
      <c r="O5" t="s">
        <v>88</v>
      </c>
    </row>
    <row r="6" spans="1:15" x14ac:dyDescent="0.25">
      <c r="A6" t="str">
        <f t="shared" si="0"/>
        <v>xmlXPathObjectPtr value : the current value</v>
      </c>
      <c r="B6" t="str">
        <f xml:space="preserve"> ExtractNthWord(TRIM($A6),WordPos(A6, ":")-1)</f>
        <v>xmlXPathObjectPtr</v>
      </c>
      <c r="C6" t="str">
        <f>ExtractNthWord(TRIM($A6),WordPos(A6, ":"))</f>
        <v>value</v>
      </c>
      <c r="D6" t="str">
        <f>"(""" &amp; C6 &amp; """," &amp; VLOOKUP(B6, Types!$A$1:$B$23, 2, FALSE) &amp; "),     " &amp; CONCATENATE("#   ", PostStr($A6, ":"))</f>
        <v>("value",ctypes.c_char_p),     #    the current value</v>
      </c>
      <c r="O6" t="s">
        <v>89</v>
      </c>
    </row>
    <row r="7" spans="1:15" x14ac:dyDescent="0.25">
      <c r="A7" t="str">
        <f t="shared" si="0"/>
        <v>int valueNr : number of values stacked</v>
      </c>
      <c r="B7" t="str">
        <f xml:space="preserve"> ExtractNthWord(TRIM($A7),WordPos(A7, ":")-1)</f>
        <v>int</v>
      </c>
      <c r="C7" t="str">
        <f>ExtractNthWord(TRIM($A7),WordPos(A7, ":"))</f>
        <v>valueNr</v>
      </c>
      <c r="D7" t="str">
        <f>"(""" &amp; C7 &amp; """," &amp; VLOOKUP(B7, Types!$A$1:$B$23, 2, FALSE) &amp; "),     " &amp; CONCATENATE("#   ", PostStr($A7, ":"))</f>
        <v>("valueNr",ctypes.c_int),     #    number of values stacked</v>
      </c>
      <c r="O7" t="s">
        <v>90</v>
      </c>
    </row>
    <row r="8" spans="1:15" x14ac:dyDescent="0.25">
      <c r="A8" t="str">
        <f t="shared" si="0"/>
        <v>int valueMax : max number of values stacked</v>
      </c>
      <c r="B8" t="str">
        <f xml:space="preserve"> ExtractNthWord(TRIM($A8),WordPos(A8, ":")-1)</f>
        <v>int</v>
      </c>
      <c r="C8" t="str">
        <f>ExtractNthWord(TRIM($A8),WordPos(A8, ":"))</f>
        <v>valueMax</v>
      </c>
      <c r="D8" t="str">
        <f>"(""" &amp; C8 &amp; """," &amp; VLOOKUP(B8, Types!$A$1:$B$23, 2, FALSE) &amp; "),     " &amp; CONCATENATE("#   ", PostStr($A8, ":"))</f>
        <v>("valueMax",ctypes.c_int),     #    max number of values stacked</v>
      </c>
      <c r="O8" t="s">
        <v>91</v>
      </c>
    </row>
    <row r="9" spans="1:15" x14ac:dyDescent="0.25">
      <c r="A9" t="str">
        <f t="shared" si="0"/>
        <v>xmlXPathObjectPtr * valueTab : stack of values</v>
      </c>
      <c r="B9" t="str">
        <f>ExtractNthWord(TRIM($A9),WordPos(A9, ":")-2) &amp; ExtractNthWord(TRIM($A9),WordPos(A9, ":")-1)</f>
        <v>xmlXPathObjectPtr*</v>
      </c>
      <c r="C9" t="str">
        <f>ExtractNthWord(TRIM($A9),WordPos(A9, ":"))</f>
        <v>valueTab</v>
      </c>
      <c r="D9" t="str">
        <f>"(""" &amp; C9 &amp; """," &amp; VLOOKUP(B9, Types!$A$1:$B$23, 2, FALSE) &amp; "),     " &amp; CONCATENATE("#   ", PostStr($A9, ":"))</f>
        <v>("valueTab",ctypes.c_char_p),     #    stack of values</v>
      </c>
      <c r="O9" t="s">
        <v>92</v>
      </c>
    </row>
    <row r="10" spans="1:15" x14ac:dyDescent="0.25">
      <c r="A10" t="str">
        <f t="shared" si="0"/>
        <v>xmlXPathCompExprPtr comp : the precompiled expression</v>
      </c>
      <c r="B10" t="str">
        <f xml:space="preserve"> ExtractNthWord(TRIM($A10),WordPos(A10, ":")-1)</f>
        <v>xmlXPathCompExprPtr</v>
      </c>
      <c r="C10" t="str">
        <f>ExtractNthWord(TRIM($A10),WordPos(A10, ":"))</f>
        <v>comp</v>
      </c>
      <c r="D10" t="str">
        <f>"(""" &amp; C10 &amp; """," &amp; VLOOKUP(B10, Types!$A$1:$B$23, 2, FALSE) &amp; "),     " &amp; CONCATENATE("#   ", PostStr($A10, ":"))</f>
        <v>("comp",ctypes.c_char_p),     #    the precompiled expression</v>
      </c>
      <c r="O10" t="s">
        <v>93</v>
      </c>
    </row>
    <row r="11" spans="1:15" x14ac:dyDescent="0.25">
      <c r="A11" t="str">
        <f t="shared" si="0"/>
        <v>int xptr : it this an XPointer expression</v>
      </c>
      <c r="B11" t="str">
        <f>ExtractNthWord(TRIM($A11),WordPos(A11, ":")-1)</f>
        <v>int</v>
      </c>
      <c r="C11" t="str">
        <f>ExtractNthWord(TRIM($A11),WordPos(A11, ":"))</f>
        <v>xptr</v>
      </c>
      <c r="D11" t="str">
        <f>"(""" &amp; C11 &amp; """," &amp; VLOOKUP(B11, Types!$A$1:$B$23, 2, FALSE) &amp; "),     " &amp; CONCATENATE("#   ", PostStr($A11, ":"))</f>
        <v>("xptr",ctypes.c_int),     #    it this an XPointer expression</v>
      </c>
      <c r="O11" t="s">
        <v>94</v>
      </c>
    </row>
    <row r="12" spans="1:15" x14ac:dyDescent="0.25">
      <c r="A12" t="str">
        <f t="shared" si="0"/>
        <v>xmlNodePtr ancestor : used for walking preceding axis</v>
      </c>
      <c r="B12" t="str">
        <f>ExtractNthWord(TRIM($A12),WordPos(A12, ":")-1)</f>
        <v>xmlNodePtr</v>
      </c>
      <c r="C12" t="str">
        <f>ExtractNthWord(TRIM($A12),WordPos(A12, ":"))</f>
        <v>ancestor</v>
      </c>
      <c r="D12" t="str">
        <f>"(""" &amp; C12 &amp; """," &amp; VLOOKUP(B12, Types!$A$1:$B$23, 2, FALSE) &amp; "),     " &amp; CONCATENATE("#   ", PostStr($A12, ":"))</f>
        <v>("ancestor",ctypes.c_char_p),     #    used for walking preceding axis</v>
      </c>
      <c r="O12" t="s">
        <v>95</v>
      </c>
    </row>
    <row r="13" spans="1:15" x14ac:dyDescent="0.25">
      <c r="A13" t="str">
        <f t="shared" si="0"/>
        <v>int valueFrame : used to limit Pop on the stack</v>
      </c>
      <c r="B13" t="str">
        <f xml:space="preserve"> ExtractNthWord(TRIM($A13),WordPos(A13, ":")-1)</f>
        <v>int</v>
      </c>
      <c r="C13" t="str">
        <f>ExtractNthWord(TRIM($A13),WordPos(A13, ":"))</f>
        <v>valueFrame</v>
      </c>
      <c r="D13" t="str">
        <f>"(""" &amp; C13 &amp; """," &amp; VLOOKUP(B13, Types!$A$1:$B$23, 2, FALSE) &amp; "),     " &amp; CONCATENATE("#   ", PostStr($A13, ":"))</f>
        <v>("valueFrame",ctypes.c_int),     #    used to limit Pop on the stack</v>
      </c>
      <c r="O13" t="s">
        <v>96</v>
      </c>
    </row>
    <row r="14" spans="1:15" x14ac:dyDescent="0.25">
      <c r="A14" t="str">
        <f>TRIM(O14)</f>
        <v>} xmlXPathParserContext;</v>
      </c>
      <c r="B14" t="str">
        <f>ExtractNthWord(TRIM($A14),WordPos(A14, ":")-2) &amp; ExtractNthWord(TRIM($A14),WordPos(A14, ":")-1)</f>
        <v/>
      </c>
      <c r="C14" t="str">
        <f>ExtractNthWord(TRIM($A14),WordPos(A14, ":"))</f>
        <v/>
      </c>
      <c r="O14" t="s">
        <v>97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1"/>
  <sheetViews>
    <sheetView workbookViewId="0">
      <selection activeCell="H26" sqref="H26"/>
    </sheetView>
  </sheetViews>
  <sheetFormatPr defaultRowHeight="15" x14ac:dyDescent="0.25"/>
  <cols>
    <col min="1" max="1" width="38.5703125" customWidth="1"/>
    <col min="2" max="2" width="19.85546875" bestFit="1" customWidth="1"/>
    <col min="3" max="3" width="17.7109375" customWidth="1"/>
  </cols>
  <sheetData>
    <row r="1" spans="1:17" x14ac:dyDescent="0.25">
      <c r="A1" t="str">
        <f>TRIM(Q1)</f>
        <v>struct xmlXPathObject {</v>
      </c>
      <c r="Q1" t="s">
        <v>103</v>
      </c>
    </row>
    <row r="2" spans="1:17" x14ac:dyDescent="0.25">
      <c r="A2" t="str">
        <f t="shared" ref="A2:A11" si="0">TRIM(Q2)</f>
        <v>xmlXPathObjectType type :</v>
      </c>
      <c r="B2" t="str">
        <f xml:space="preserve"> ExtractNthWord(TRIM($A2),WordPos(A2, ":")-1)</f>
        <v>xmlXPathObjectType</v>
      </c>
      <c r="C2" t="str">
        <f>ExtractNthWord(TRIM($A2),WordPos(A2, ":"))</f>
        <v>type</v>
      </c>
      <c r="D2" t="str">
        <f>"("""&amp;C2&amp;""","&amp;VLOOKUP(B2,Types!$A$1:$B$23,2,FALSE)&amp;"), "</f>
        <v xml:space="preserve">("type",ctypes.c_char_p), </v>
      </c>
      <c r="Q2" t="s">
        <v>105</v>
      </c>
    </row>
    <row r="3" spans="1:17" x14ac:dyDescent="0.25">
      <c r="A3" t="str">
        <f t="shared" si="0"/>
        <v>xmlNodeSetPtr nodesetval :</v>
      </c>
      <c r="B3" t="str">
        <f xml:space="preserve"> ExtractNthWord(TRIM($A3),WordPos(A3, ":")-1)</f>
        <v>xmlNodeSetPtr</v>
      </c>
      <c r="C3" t="str">
        <f>ExtractNthWord(TRIM($A3),WordPos(A3, ":"))</f>
        <v>nodesetval</v>
      </c>
      <c r="D3" t="str">
        <f>"("""&amp;C3&amp;""","&amp;VLOOKUP(B3,Types!$A$1:$B$23,2,FALSE)&amp;"), "</f>
        <v xml:space="preserve">("nodesetval",ctypes.c_char_p), </v>
      </c>
      <c r="Q3" t="s">
        <v>106</v>
      </c>
    </row>
    <row r="4" spans="1:17" x14ac:dyDescent="0.25">
      <c r="A4" t="str">
        <f t="shared" si="0"/>
        <v>int boolval :</v>
      </c>
      <c r="B4" t="str">
        <f xml:space="preserve"> ExtractNthWord(TRIM($A4),WordPos(A4, ":")-1)</f>
        <v>int</v>
      </c>
      <c r="C4" t="str">
        <f>ExtractNthWord(TRIM($A4),WordPos(A4, ":"))</f>
        <v>boolval</v>
      </c>
      <c r="D4" t="str">
        <f>"("""&amp;C4&amp;""","&amp;VLOOKUP(B4,Types!$A$1:$B$23,2,FALSE)&amp;"), "</f>
        <v xml:space="preserve">("boolval",ctypes.c_int), </v>
      </c>
      <c r="Q4" t="s">
        <v>107</v>
      </c>
    </row>
    <row r="5" spans="1:17" x14ac:dyDescent="0.25">
      <c r="A5" t="str">
        <f t="shared" si="0"/>
        <v>double floatval :</v>
      </c>
      <c r="B5" t="str">
        <f xml:space="preserve"> ExtractNthWord(TRIM($A5),WordPos(A5, ":")-1)</f>
        <v>double</v>
      </c>
      <c r="C5" t="str">
        <f>ExtractNthWord(TRIM($A5),WordPos(A5, ":"))</f>
        <v>floatval</v>
      </c>
      <c r="D5" t="str">
        <f>"("""&amp;C5&amp;""","&amp;VLOOKUP(B5,Types!$A$1:$B$23,2,FALSE)&amp;"), "</f>
        <v xml:space="preserve">("floatval",ctypes.c_double), </v>
      </c>
      <c r="Q5" t="s">
        <v>108</v>
      </c>
    </row>
    <row r="6" spans="1:17" x14ac:dyDescent="0.25">
      <c r="A6" t="str">
        <f t="shared" si="0"/>
        <v>xmlChar * stringval :</v>
      </c>
      <c r="B6" t="str">
        <f xml:space="preserve"> ExtractNthWord(TRIM($A6),WordPos(A6, ":")-1)</f>
        <v>*</v>
      </c>
      <c r="C6" t="str">
        <f>ExtractNthWord(TRIM($A6),WordPos(A6, ":"))</f>
        <v>stringval</v>
      </c>
      <c r="D6" t="str">
        <f>"("""&amp;C6&amp;""","&amp;VLOOKUP(B6,Types!$A$1:$B$23,2,FALSE)&amp;"), "</f>
        <v xml:space="preserve">("stringval",ctypes.c_void_p), </v>
      </c>
      <c r="Q6" t="s">
        <v>111</v>
      </c>
    </row>
    <row r="7" spans="1:17" x14ac:dyDescent="0.25">
      <c r="A7" t="str">
        <f t="shared" si="0"/>
        <v>void * user :</v>
      </c>
      <c r="B7" t="str">
        <f xml:space="preserve"> ExtractNthWord(TRIM($A7),WordPos(A7, ":")-1)</f>
        <v>*</v>
      </c>
      <c r="C7" t="str">
        <f>ExtractNthWord(TRIM($A7),WordPos(A7, ":"))</f>
        <v>user</v>
      </c>
      <c r="D7" t="str">
        <f>"("""&amp;C7&amp;""","&amp;VLOOKUP(B7,Types!$A$1:$B$23,2,FALSE)&amp;"), "</f>
        <v xml:space="preserve">("user",ctypes.c_void_p), </v>
      </c>
      <c r="Q7" t="s">
        <v>112</v>
      </c>
    </row>
    <row r="8" spans="1:17" x14ac:dyDescent="0.25">
      <c r="A8" t="str">
        <f t="shared" si="0"/>
        <v>int index :</v>
      </c>
      <c r="B8" t="str">
        <f xml:space="preserve"> ExtractNthWord(TRIM($A8),WordPos(A8, ":")-1)</f>
        <v>int</v>
      </c>
      <c r="C8" t="str">
        <f>ExtractNthWord(TRIM($A8),WordPos(A8, ":"))</f>
        <v>index</v>
      </c>
      <c r="D8" t="str">
        <f>"("""&amp;C8&amp;""","&amp;VLOOKUP(B8,Types!$A$1:$B$23,2,FALSE)&amp;"), "</f>
        <v xml:space="preserve">("index",ctypes.c_int), </v>
      </c>
      <c r="Q8" t="s">
        <v>109</v>
      </c>
    </row>
    <row r="9" spans="1:17" x14ac:dyDescent="0.25">
      <c r="A9" t="str">
        <f t="shared" si="0"/>
        <v>void * user2 :</v>
      </c>
      <c r="B9" t="str">
        <f xml:space="preserve"> ExtractNthWord(TRIM($A9),WordPos(A9, ":")-1)</f>
        <v>*</v>
      </c>
      <c r="C9" t="str">
        <f>ExtractNthWord(TRIM($A9),WordPos(A9, ":"))</f>
        <v>user2</v>
      </c>
      <c r="D9" t="str">
        <f>"("""&amp;C9&amp;""","&amp;VLOOKUP(B9,Types!$A$1:$B$23,2,FALSE)&amp;"), "</f>
        <v xml:space="preserve">("user2",ctypes.c_void_p), </v>
      </c>
      <c r="Q9" t="s">
        <v>113</v>
      </c>
    </row>
    <row r="10" spans="1:17" x14ac:dyDescent="0.25">
      <c r="A10" t="str">
        <f t="shared" si="0"/>
        <v>int index2 :</v>
      </c>
      <c r="B10" t="str">
        <f xml:space="preserve"> ExtractNthWord(TRIM($A10),WordPos(A10, ":")-1)</f>
        <v>int</v>
      </c>
      <c r="C10" t="str">
        <f>ExtractNthWord(TRIM($A10),WordPos(A10, ":"))</f>
        <v>index2</v>
      </c>
      <c r="D10" t="str">
        <f>"("""&amp;C10&amp;""","&amp;VLOOKUP(B10,Types!$A$1:$B$23,2,FALSE)&amp;"), "</f>
        <v xml:space="preserve">("index2",ctypes.c_int), </v>
      </c>
      <c r="Q10" t="s">
        <v>110</v>
      </c>
    </row>
    <row r="11" spans="1:17" x14ac:dyDescent="0.25">
      <c r="A11" t="str">
        <f t="shared" si="0"/>
        <v>};</v>
      </c>
      <c r="B11" t="str">
        <f>ExtractNthWord(TRIM($A11),WordPos(A11, ":")-1)</f>
        <v/>
      </c>
      <c r="C11" t="str">
        <f>ExtractNthWord(TRIM($A11),WordPos(A11, ":"))</f>
        <v/>
      </c>
      <c r="Q11" t="s">
        <v>104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3"/>
  <sheetViews>
    <sheetView workbookViewId="0">
      <selection activeCell="B15" sqref="B15:B16"/>
    </sheetView>
  </sheetViews>
  <sheetFormatPr defaultRowHeight="15" x14ac:dyDescent="0.25"/>
  <cols>
    <col min="1" max="1" width="21.42578125" bestFit="1" customWidth="1"/>
    <col min="2" max="2" width="18.7109375" customWidth="1"/>
  </cols>
  <sheetData>
    <row r="1" spans="1:2" x14ac:dyDescent="0.25">
      <c r="A1" t="s">
        <v>41</v>
      </c>
      <c r="B1" t="s">
        <v>42</v>
      </c>
    </row>
    <row r="2" spans="1:2" x14ac:dyDescent="0.25">
      <c r="A2" t="s">
        <v>36</v>
      </c>
      <c r="B2" t="s">
        <v>42</v>
      </c>
    </row>
    <row r="3" spans="1:2" x14ac:dyDescent="0.25">
      <c r="A3" t="s">
        <v>38</v>
      </c>
      <c r="B3" t="s">
        <v>42</v>
      </c>
    </row>
    <row r="4" spans="1:2" x14ac:dyDescent="0.25">
      <c r="A4" t="s">
        <v>35</v>
      </c>
      <c r="B4" t="s">
        <v>42</v>
      </c>
    </row>
    <row r="5" spans="1:2" x14ac:dyDescent="0.25">
      <c r="A5" t="s">
        <v>39</v>
      </c>
      <c r="B5" t="s">
        <v>42</v>
      </c>
    </row>
    <row r="6" spans="1:2" x14ac:dyDescent="0.25">
      <c r="A6" t="s">
        <v>34</v>
      </c>
      <c r="B6" t="s">
        <v>43</v>
      </c>
    </row>
    <row r="7" spans="1:2" x14ac:dyDescent="0.25">
      <c r="A7" t="s">
        <v>58</v>
      </c>
      <c r="B7" t="s">
        <v>43</v>
      </c>
    </row>
    <row r="8" spans="1:2" x14ac:dyDescent="0.25">
      <c r="A8" t="s">
        <v>59</v>
      </c>
      <c r="B8" t="s">
        <v>43</v>
      </c>
    </row>
    <row r="9" spans="1:2" x14ac:dyDescent="0.25">
      <c r="A9" t="s">
        <v>102</v>
      </c>
      <c r="B9" t="str">
        <f>B7</f>
        <v>ctypes.c_char_p</v>
      </c>
    </row>
    <row r="10" spans="1:2" x14ac:dyDescent="0.25">
      <c r="A10" t="s">
        <v>83</v>
      </c>
      <c r="B10" t="str">
        <f>B8</f>
        <v>ctypes.c_char_p</v>
      </c>
    </row>
    <row r="11" spans="1:2" x14ac:dyDescent="0.25">
      <c r="A11" t="s">
        <v>98</v>
      </c>
      <c r="B11" t="s">
        <v>43</v>
      </c>
    </row>
    <row r="12" spans="1:2" x14ac:dyDescent="0.25">
      <c r="A12" t="s">
        <v>99</v>
      </c>
      <c r="B12" t="s">
        <v>43</v>
      </c>
    </row>
    <row r="13" spans="1:2" x14ac:dyDescent="0.25">
      <c r="A13" t="s">
        <v>100</v>
      </c>
      <c r="B13" t="s">
        <v>43</v>
      </c>
    </row>
    <row r="14" spans="1:2" x14ac:dyDescent="0.25">
      <c r="A14" t="s">
        <v>101</v>
      </c>
      <c r="B14" t="str">
        <f t="shared" ref="B14:B16" si="0">B13</f>
        <v>ctypes.c_char_p</v>
      </c>
    </row>
    <row r="15" spans="1:2" x14ac:dyDescent="0.25">
      <c r="A15" t="s">
        <v>116</v>
      </c>
      <c r="B15" t="str">
        <f t="shared" si="0"/>
        <v>ctypes.c_char_p</v>
      </c>
    </row>
    <row r="16" spans="1:2" x14ac:dyDescent="0.25">
      <c r="A16" t="s">
        <v>117</v>
      </c>
      <c r="B16" t="str">
        <f t="shared" si="0"/>
        <v>ctypes.c_char_p</v>
      </c>
    </row>
    <row r="17" spans="1:2" x14ac:dyDescent="0.25">
      <c r="A17" t="s">
        <v>60</v>
      </c>
      <c r="B17" t="s">
        <v>45</v>
      </c>
    </row>
    <row r="18" spans="1:2" x14ac:dyDescent="0.25">
      <c r="A18" t="s">
        <v>114</v>
      </c>
      <c r="B18" t="s">
        <v>115</v>
      </c>
    </row>
    <row r="19" spans="1:2" x14ac:dyDescent="0.25">
      <c r="A19" t="s">
        <v>37</v>
      </c>
      <c r="B19" t="s">
        <v>44</v>
      </c>
    </row>
    <row r="20" spans="1:2" x14ac:dyDescent="0.25">
      <c r="A20" t="s">
        <v>32</v>
      </c>
      <c r="B20" t="s">
        <v>42</v>
      </c>
    </row>
    <row r="21" spans="1:2" x14ac:dyDescent="0.25">
      <c r="A21" t="s">
        <v>40</v>
      </c>
      <c r="B21" t="s">
        <v>43</v>
      </c>
    </row>
    <row r="22" spans="1:2" x14ac:dyDescent="0.25">
      <c r="A22" t="s">
        <v>76</v>
      </c>
      <c r="B22" t="s">
        <v>77</v>
      </c>
    </row>
    <row r="23" spans="1:2" x14ac:dyDescent="0.25">
      <c r="A23" t="s">
        <v>33</v>
      </c>
      <c r="B23" t="s">
        <v>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xmlDoc</vt:lpstr>
      <vt:lpstr>xmlNode</vt:lpstr>
      <vt:lpstr>xmlError</vt:lpstr>
      <vt:lpstr>xmlNodeSet</vt:lpstr>
      <vt:lpstr>xmlXPathParserContext</vt:lpstr>
      <vt:lpstr>xmlXPathObj</vt:lpstr>
      <vt:lpstr>Types</vt:lpstr>
    </vt:vector>
  </TitlesOfParts>
  <Company>RedViking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Holstein</dc:creator>
  <cp:lastModifiedBy>danny</cp:lastModifiedBy>
  <dcterms:created xsi:type="dcterms:W3CDTF">2022-10-18T15:11:43Z</dcterms:created>
  <dcterms:modified xsi:type="dcterms:W3CDTF">2022-11-02T20:41:39Z</dcterms:modified>
</cp:coreProperties>
</file>